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 Docs\Spadez\OMNI\"/>
    </mc:Choice>
  </mc:AlternateContent>
  <bookViews>
    <workbookView xWindow="0" yWindow="0" windowWidth="20490" windowHeight="7905" activeTab="1"/>
  </bookViews>
  <sheets>
    <sheet name="Main" sheetId="1" r:id="rId1"/>
    <sheet name="DashBoard" sheetId="6" r:id="rId2"/>
    <sheet name="DataList" sheetId="5" r:id="rId3"/>
  </sheets>
  <functionGroups builtInGroupCount="18"/>
  <definedNames>
    <definedName name="_xlnm._FilterDatabase" localSheetId="1" hidden="1">DashBoard!$B$5:$D$5</definedName>
  </definedNames>
  <calcPr calcId="152511"/>
</workbook>
</file>

<file path=xl/calcChain.xml><?xml version="1.0" encoding="utf-8"?>
<calcChain xmlns="http://schemas.openxmlformats.org/spreadsheetml/2006/main">
  <c r="E2" i="6" l="1"/>
  <c r="E3" i="6"/>
  <c r="E1" i="6"/>
  <c r="B4" i="1" l="1"/>
</calcChain>
</file>

<file path=xl/sharedStrings.xml><?xml version="1.0" encoding="utf-8"?>
<sst xmlns="http://schemas.openxmlformats.org/spreadsheetml/2006/main" count="179" uniqueCount="161">
  <si>
    <t>Status</t>
  </si>
  <si>
    <t>Company ID</t>
  </si>
  <si>
    <t>STATUS</t>
  </si>
  <si>
    <t>Company Name</t>
  </si>
  <si>
    <t>Master Data For:</t>
  </si>
  <si>
    <t>Number</t>
  </si>
  <si>
    <t>CID</t>
  </si>
  <si>
    <t>Provider=SQLOLEDB;Server=saywjsr1oe.database.windows.net;Database=RMSSpadez2015;User ID=RMSspadez@saywjsr1oe;Password=Spadez@123;</t>
  </si>
  <si>
    <t>Serial#</t>
  </si>
  <si>
    <t>Records Count</t>
  </si>
  <si>
    <t>Facilities</t>
  </si>
  <si>
    <t>Cambridge</t>
  </si>
  <si>
    <t>CH1</t>
  </si>
  <si>
    <t>IVY</t>
  </si>
  <si>
    <t>SEHA</t>
  </si>
  <si>
    <t>Servicesdot</t>
  </si>
  <si>
    <t>Cambridge Abu Dhabi</t>
  </si>
  <si>
    <t>Cambridge Al Ain</t>
  </si>
  <si>
    <t>CamF1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</si>
  <si>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</si>
  <si>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</si>
  <si>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</si>
  <si>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</si>
  <si>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</si>
  <si>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</si>
  <si>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</si>
  <si>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</si>
  <si>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</si>
  <si>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</si>
  <si>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</si>
  <si>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</si>
  <si>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ID</t>
  </si>
  <si>
    <t>Indicator</t>
  </si>
  <si>
    <t>Facility :</t>
  </si>
  <si>
    <t>Budget/Actual:</t>
  </si>
  <si>
    <t>Year:</t>
  </si>
  <si>
    <t>Budget</t>
  </si>
  <si>
    <t>CorporateName</t>
  </si>
  <si>
    <t>FacilityName</t>
  </si>
  <si>
    <t>FID</t>
  </si>
  <si>
    <t>Provider=SQLOLEDB;Server=192.168.2.10;Database=BillingSystemDemo;User ID=sa;Password=Spadez@123;</t>
  </si>
  <si>
    <t>101</t>
  </si>
  <si>
    <t>Admissions</t>
  </si>
  <si>
    <t>102</t>
  </si>
  <si>
    <t>Discharges</t>
  </si>
  <si>
    <t>103</t>
  </si>
  <si>
    <t>Inpatient Days</t>
  </si>
  <si>
    <t>104</t>
  </si>
  <si>
    <t>Outpatient Encounters</t>
  </si>
  <si>
    <t>105</t>
  </si>
  <si>
    <t>Adjusted Patient Days</t>
  </si>
  <si>
    <t>106</t>
  </si>
  <si>
    <t>Average Length of Stay</t>
  </si>
  <si>
    <t>107</t>
  </si>
  <si>
    <t>Case Mix</t>
  </si>
  <si>
    <t>108</t>
  </si>
  <si>
    <t>Total Operating Beds</t>
  </si>
  <si>
    <t>109</t>
  </si>
  <si>
    <t>Occupancy Rate</t>
  </si>
  <si>
    <t>110</t>
  </si>
  <si>
    <t>Net Revenue</t>
  </si>
  <si>
    <t>111</t>
  </si>
  <si>
    <t>SWB Direct</t>
  </si>
  <si>
    <t>112</t>
  </si>
  <si>
    <t>Supplies</t>
  </si>
  <si>
    <t>113</t>
  </si>
  <si>
    <t>Other Direct</t>
  </si>
  <si>
    <t>114</t>
  </si>
  <si>
    <t>Operating Margin</t>
  </si>
  <si>
    <t>115</t>
  </si>
  <si>
    <t>Other Indirect Costs</t>
  </si>
  <si>
    <t>116</t>
  </si>
  <si>
    <t>EBITDA</t>
  </si>
  <si>
    <t>117</t>
  </si>
  <si>
    <t>Depr &amp; Amort</t>
  </si>
  <si>
    <t>118</t>
  </si>
  <si>
    <t>Interest</t>
  </si>
  <si>
    <t>119</t>
  </si>
  <si>
    <t>Net Income/Loss</t>
  </si>
  <si>
    <t>120</t>
  </si>
  <si>
    <t>SWB % of Net Revenue</t>
  </si>
  <si>
    <t>121</t>
  </si>
  <si>
    <t>Indirect % of Net Revenue</t>
  </si>
  <si>
    <t>122</t>
  </si>
  <si>
    <t>EBITDA Margin</t>
  </si>
  <si>
    <t>124</t>
  </si>
  <si>
    <t>Cash from Operations</t>
  </si>
  <si>
    <t>128</t>
  </si>
  <si>
    <t>Net Cash Change</t>
  </si>
  <si>
    <t>144</t>
  </si>
  <si>
    <t>Average Daily Census</t>
  </si>
  <si>
    <t>145</t>
  </si>
  <si>
    <t>146</t>
  </si>
  <si>
    <t>Management of High Alert Medication</t>
  </si>
  <si>
    <t>147</t>
  </si>
  <si>
    <t>Patient Fall Rate with Injury per 1000 patient days</t>
  </si>
  <si>
    <t>150</t>
  </si>
  <si>
    <t>Pressure Ulcer incidence Rate</t>
  </si>
  <si>
    <t>153</t>
  </si>
  <si>
    <t>Pain Management compliance  Rate</t>
  </si>
  <si>
    <t xml:space="preserve">Total number of fall risk assessment  audits in a  set period of time </t>
  </si>
  <si>
    <t>161</t>
  </si>
  <si>
    <t>OutPatient Revenue</t>
  </si>
  <si>
    <t>160</t>
  </si>
  <si>
    <t>InPatient Revenue</t>
  </si>
  <si>
    <t>155</t>
  </si>
  <si>
    <t>SWB Indirect</t>
  </si>
  <si>
    <t>162</t>
  </si>
  <si>
    <t>Net Income Margin</t>
  </si>
  <si>
    <t>165</t>
  </si>
  <si>
    <t>Total Operating Expenditures</t>
  </si>
  <si>
    <t>166</t>
  </si>
  <si>
    <t>Discharge to Community Rate</t>
  </si>
  <si>
    <t>167</t>
  </si>
  <si>
    <t>Lost Referals</t>
  </si>
  <si>
    <t>168</t>
  </si>
  <si>
    <t>Transfer Out Rate</t>
  </si>
  <si>
    <t>169</t>
  </si>
  <si>
    <t>Nursing Staff Competency</t>
  </si>
  <si>
    <t>170</t>
  </si>
  <si>
    <t>Nursing Department Orientation</t>
  </si>
  <si>
    <t>171</t>
  </si>
  <si>
    <t>Patient Identification</t>
  </si>
  <si>
    <t>172</t>
  </si>
  <si>
    <t>High Alert Medication</t>
  </si>
  <si>
    <t>174</t>
  </si>
  <si>
    <t>Patient Fall Rate with Injury</t>
  </si>
  <si>
    <t>175</t>
  </si>
  <si>
    <t>Pressure Ulcer Incident Rate</t>
  </si>
  <si>
    <t>176</t>
  </si>
  <si>
    <t>Pain Management Compliance Rate</t>
  </si>
  <si>
    <t>177</t>
  </si>
  <si>
    <t>Fall Risk Assessment Protocol Compliance Rate</t>
  </si>
  <si>
    <t>178</t>
  </si>
  <si>
    <t>Compliance to Pressure Ulcer Prevention Protocol</t>
  </si>
  <si>
    <t>180</t>
  </si>
  <si>
    <t>MDRO Rate</t>
  </si>
  <si>
    <t>181</t>
  </si>
  <si>
    <t>MRSA Rate</t>
  </si>
  <si>
    <t>182</t>
  </si>
  <si>
    <t>ESBL Rate</t>
  </si>
  <si>
    <t>183</t>
  </si>
  <si>
    <t>LRTI Rate</t>
  </si>
  <si>
    <t>184</t>
  </si>
  <si>
    <t>Cauti Rate</t>
  </si>
  <si>
    <t>185</t>
  </si>
  <si>
    <t>BSI Rate</t>
  </si>
  <si>
    <t>186</t>
  </si>
  <si>
    <t>Hand Hygine Complaince Rate</t>
  </si>
  <si>
    <t>187</t>
  </si>
  <si>
    <t>Staff Vaccination Rate</t>
  </si>
  <si>
    <t>188</t>
  </si>
  <si>
    <t>Inappropriate Anti-Biotic Usage Rate</t>
  </si>
  <si>
    <t>189</t>
  </si>
  <si>
    <t>Therapy Initial Assessment Protocol Compliance</t>
  </si>
  <si>
    <t>190</t>
  </si>
  <si>
    <t>Manual Handling Risk Assessment Protocol Compliance</t>
  </si>
  <si>
    <t>191</t>
  </si>
  <si>
    <t>Standardized Outcome Measure Protocol within 7 days of Admission Compliance</t>
  </si>
  <si>
    <t>192</t>
  </si>
  <si>
    <t>Incidents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</si>
</sst>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b/>
      <i/>
      <u/>
      <sz val="11"/>
      <color rgb="FFFF0000"/>
      <name val="Calibri"/>
      <family val="2"/>
    </font>
    <font>
      <sz val="11"/>
      <color theme="6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3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1" fillId="2" borderId="3" xfId="0" applyFont="1" applyFill="1" applyBorder="1" applyAlignment="1">
      <alignment horizontal="center" wrapText="1"/>
    </xf>
    <xf numFmtId="0" fontId="0" fillId="3" borderId="0" xfId="0" applyFill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1" fillId="2" borderId="1" xfId="0" applyFont="1" applyFill="1" applyBorder="1" applyAlignment="1">
      <alignment horizontal="left"/>
    </xf>
    <xf numFmtId="0" fontId="0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0" fillId="3" borderId="2" xfId="0" applyFill="1" applyBorder="1" applyAlignment="1" applyProtection="1">
      <alignment horizontal="center"/>
    </xf>
    <xf numFmtId="0" fontId="0" fillId="0" borderId="0" xfId="0" applyProtection="1"/>
    <xf numFmtId="0" fontId="7" fillId="0" borderId="0" xfId="0" applyFon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7" fillId="5" borderId="10" xfId="0" applyFont="1" applyFill="1" applyBorder="1" applyAlignment="1" applyProtection="1">
      <alignment horizontal="right"/>
    </xf>
    <xf numFmtId="0" fontId="7" fillId="5" borderId="4" xfId="0" applyNumberFormat="1" applyFont="1" applyFill="1" applyBorder="1" applyAlignment="1" applyProtection="1">
      <alignment horizontal="right"/>
    </xf>
    <xf numFmtId="0" fontId="1" fillId="2" borderId="9" xfId="0" applyFont="1" applyFill="1" applyBorder="1" applyAlignment="1" applyProtection="1">
      <alignment horizontal="right"/>
    </xf>
    <xf numFmtId="0" fontId="1" fillId="2" borderId="10" xfId="0" applyFont="1" applyFill="1" applyBorder="1" applyAlignment="1" applyProtection="1">
      <alignment horizontal="right"/>
    </xf>
    <xf numFmtId="0" fontId="1" fillId="2" borderId="4" xfId="0" applyNumberFormat="1" applyFont="1" applyFill="1" applyBorder="1" applyAlignment="1" applyProtection="1">
      <alignment horizontal="right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right" wrapText="1"/>
      <protection locked="0"/>
    </xf>
    <xf numFmtId="0" fontId="9" fillId="0" borderId="0" xfId="0" applyFont="1"/>
    <xf numFmtId="0" fontId="0" fillId="0" borderId="0" xfId="0" applyFill="1" applyBorder="1" applyAlignment="1" applyProtection="1">
      <alignment horizontal="center"/>
      <protection locked="0"/>
    </xf>
    <xf numFmtId="0" fontId="8" fillId="2" borderId="3" xfId="0" applyFont="1" applyFill="1" applyBorder="1" applyAlignment="1" applyProtection="1">
      <alignment horizontal="center" wrapText="1"/>
      <protection locked="0"/>
    </xf>
    <xf numFmtId="0" fontId="8" fillId="2" borderId="1" xfId="0" applyFont="1" applyFill="1" applyBorder="1" applyAlignment="1" applyProtection="1">
      <alignment horizontal="center" wrapText="1"/>
      <protection locked="0"/>
    </xf>
    <xf numFmtId="0" fontId="0" fillId="5" borderId="7" xfId="0" applyFill="1" applyBorder="1" applyAlignment="1" applyProtection="1">
      <alignment horizontal="center"/>
    </xf>
    <xf numFmtId="0" fontId="2" fillId="5" borderId="1" xfId="0" applyFont="1" applyFill="1" applyBorder="1" applyProtection="1"/>
    <xf numFmtId="0" fontId="7" fillId="5" borderId="7" xfId="0" applyFont="1" applyFill="1" applyBorder="1" applyAlignment="1" applyProtection="1">
      <alignment horizontal="right"/>
    </xf>
    <xf numFmtId="0" fontId="0" fillId="5" borderId="7" xfId="0" applyFill="1" applyBorder="1" applyAlignment="1" applyProtection="1">
      <alignment horizontal="right"/>
    </xf>
    <xf numFmtId="0" fontId="0" fillId="5" borderId="8" xfId="0" applyNumberFormat="1" applyFill="1" applyBorder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5" borderId="11" xfId="0" applyFill="1" applyBorder="1" applyAlignment="1" applyProtection="1">
      <alignment horizontal="center"/>
    </xf>
    <xf numFmtId="0" fontId="0" fillId="5" borderId="0" xfId="0" applyFill="1" applyBorder="1" applyAlignment="1" applyProtection="1">
      <alignment horizontal="center"/>
    </xf>
    <xf numFmtId="0" fontId="7" fillId="5" borderId="0" xfId="0" applyFont="1" applyFill="1" applyBorder="1" applyAlignment="1" applyProtection="1">
      <alignment horizontal="right"/>
    </xf>
    <xf numFmtId="0" fontId="0" fillId="5" borderId="0" xfId="0" applyFill="1" applyBorder="1" applyAlignment="1" applyProtection="1">
      <alignment horizontal="right"/>
    </xf>
    <xf numFmtId="0" fontId="0" fillId="5" borderId="12" xfId="0" applyNumberFormat="1" applyFill="1" applyBorder="1" applyAlignment="1" applyProtection="1">
      <alignment horizontal="right"/>
    </xf>
    <xf numFmtId="0" fontId="0" fillId="0" borderId="0" xfId="0" applyFill="1" applyAlignment="1" applyProtection="1">
      <alignment horizontal="center"/>
    </xf>
    <xf numFmtId="0" fontId="0" fillId="5" borderId="0" xfId="0" applyFill="1" applyProtection="1"/>
    <xf numFmtId="0" fontId="0" fillId="5" borderId="0" xfId="0" applyFill="1" applyBorder="1" applyAlignment="1" applyProtection="1">
      <alignment wrapText="1"/>
    </xf>
    <xf numFmtId="0" fontId="1" fillId="3" borderId="5" xfId="0" applyFont="1" applyFill="1" applyBorder="1" applyAlignment="1" applyProtection="1">
      <alignment horizontal="center"/>
    </xf>
    <xf numFmtId="0" fontId="1" fillId="3" borderId="5" xfId="0" applyFont="1" applyFill="1" applyBorder="1" applyProtection="1"/>
    <xf numFmtId="0" fontId="1" fillId="3" borderId="3" xfId="0" applyFont="1" applyFill="1" applyBorder="1" applyAlignment="1" applyProtection="1">
      <alignment wrapText="1"/>
    </xf>
  </cellXfs>
  <cellStyles count="1">
    <cellStyle name="Normal" xfId="0" builtinId="0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2</xdr:row>
          <xdr:rowOff>9525</xdr:rowOff>
        </xdr:from>
        <xdr:to>
          <xdr:col>2</xdr:col>
          <xdr:colOff>2695575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</a:rPr>
                <a:t>Get - Company Master Data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3000375</xdr:colOff>
          <xdr:row>2</xdr:row>
          <xdr:rowOff>9525</xdr:rowOff>
        </xdr:from>
        <xdr:to>
          <xdr:col>3</xdr:col>
          <xdr:colOff>876300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Status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1019175</xdr:colOff>
          <xdr:row>0</xdr:row>
          <xdr:rowOff>38100</xdr:rowOff>
        </xdr:from>
        <xdr:to>
          <xdr:col>3</xdr:col>
          <xdr:colOff>19050</xdr:colOff>
          <xdr:row>1</xdr:row>
          <xdr:rowOff>133350</xdr:rowOff>
        </xdr:to>
        <xdr:sp macro="" textlink="">
          <xdr:nvSpPr>
            <xdr:cNvPr id="1027" name="Button 3" descr="Get Column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Corporate List  --- from --&gt; ServiceDot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171450</xdr:rowOff>
        </xdr:from>
        <xdr:to>
          <xdr:col>7</xdr:col>
          <xdr:colOff>57150</xdr:colOff>
          <xdr:row>2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171450</xdr:rowOff>
        </xdr:from>
        <xdr:to>
          <xdr:col>8</xdr:col>
          <xdr:colOff>523875</xdr:colOff>
          <xdr:row>2</xdr:row>
          <xdr:rowOff>95250</xdr:rowOff>
        </xdr:to>
        <xdr:sp macro="" textlink="">
          <xdr:nvSpPr>
            <xdr:cNvPr id="5122" name="Button 2" descr="Get Column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Indicators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657225</xdr:colOff>
          <xdr:row>0</xdr:row>
          <xdr:rowOff>171450</xdr:rowOff>
        </xdr:from>
        <xdr:to>
          <xdr:col>10</xdr:col>
          <xdr:colOff>638175</xdr:colOff>
          <xdr:row>2</xdr:row>
          <xdr:rowOff>95250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sng" strike="noStrike" baseline="0">
                  <a:solidFill>
                    <a:srgbClr val="FF0000"/>
                  </a:solidFill>
                  <a:latin typeface="Calibri"/>
                </a:rPr>
                <a:t>Upload- DATA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4"/>
  <sheetViews>
    <sheetView workbookViewId="0">
      <selection activeCell="B3" sqref="B3"/>
    </sheetView>
  </sheetViews>
  <sheetFormatPr defaultRowHeight="15" x14ac:dyDescent="0.25"/>
  <cols>
    <col min="1" max="1" width="17.7109375" style="2" customWidth="1"/>
    <col min="2" max="2" width="60" style="5" customWidth="1"/>
    <col min="3" max="3" width="57.85546875" style="2" customWidth="1"/>
    <col min="4" max="4" width="13.42578125" style="2" customWidth="1"/>
    <col min="5" max="5" width="5.5703125" style="1" customWidth="1"/>
    <col min="6" max="6" width="12" style="13" customWidth="1"/>
    <col min="7" max="7" width="12" style="2" customWidth="1"/>
    <col min="8" max="8" width="27.5703125" customWidth="1"/>
    <col min="9" max="9" width="10.7109375" customWidth="1"/>
  </cols>
  <sheetData>
    <row r="1" spans="1:8" x14ac:dyDescent="0.25">
      <c r="A1" s="16"/>
      <c r="B1" s="18"/>
      <c r="C1" s="7"/>
      <c r="D1" s="4"/>
    </row>
    <row r="2" spans="1:8" x14ac:dyDescent="0.25">
      <c r="A2" s="10"/>
      <c r="B2" s="19" t="s">
        <v>40</v>
      </c>
      <c r="C2" s="7"/>
      <c r="D2" s="7"/>
      <c r="H2" s="3"/>
    </row>
    <row r="3" spans="1:8" x14ac:dyDescent="0.25">
      <c r="A3" s="10" t="s">
        <v>3</v>
      </c>
      <c r="B3" s="36" t="s">
        <v>11</v>
      </c>
      <c r="C3" s="7"/>
      <c r="D3" s="7"/>
      <c r="H3" s="3"/>
    </row>
    <row r="4" spans="1:8" x14ac:dyDescent="0.25">
      <c r="A4" s="11" t="s">
        <v>1</v>
      </c>
      <c r="B4" s="9">
        <f>VLOOKUP(B3,DataList!A2:B1000,2)</f>
        <v>12</v>
      </c>
      <c r="C4" s="4"/>
      <c r="D4" s="4"/>
      <c r="H4" s="3"/>
    </row>
    <row r="5" spans="1:8" x14ac:dyDescent="0.25">
      <c r="A5" s="4"/>
      <c r="B5" s="20"/>
      <c r="C5" s="4"/>
      <c r="D5" s="4"/>
      <c r="H5" s="3"/>
    </row>
    <row r="6" spans="1:8" ht="15.75" thickBot="1" x14ac:dyDescent="0.3">
      <c r="A6" s="4"/>
      <c r="B6" s="23" t="s">
        <v>7</v>
      </c>
      <c r="C6" s="4"/>
      <c r="D6" s="4"/>
      <c r="H6" s="3"/>
    </row>
    <row r="7" spans="1:8" ht="46.5" customHeight="1" thickBot="1" x14ac:dyDescent="0.3">
      <c r="A7" s="6" t="s">
        <v>8</v>
      </c>
      <c r="B7" s="21" t="s">
        <v>4</v>
      </c>
      <c r="C7" s="17" t="s">
        <v>9</v>
      </c>
      <c r="D7" s="8" t="s">
        <v>0</v>
      </c>
      <c r="H7" s="3"/>
    </row>
    <row r="8" spans="1:8" x14ac:dyDescent="0.25">
      <c r="A8" s="2">
        <v>1</v>
      </c>
      <c r="B8" s="5" t="s">
        <v>10</v>
      </c>
      <c r="C8" s="2">
        <v>3</v>
      </c>
      <c r="D8" s="2">
        <v>1</v>
      </c>
      <c r="H8" s="3"/>
    </row>
    <row r="9" spans="1:8" x14ac:dyDescent="0.25">
      <c r="H9" s="3"/>
    </row>
    <row r="10" spans="1:8" x14ac:dyDescent="0.25">
      <c r="H10" s="3"/>
    </row>
    <row r="11" spans="1:8" x14ac:dyDescent="0.25">
      <c r="H11" s="3"/>
    </row>
    <row r="12" spans="1:8" x14ac:dyDescent="0.25">
      <c r="H12" s="3"/>
    </row>
    <row r="13" spans="1:8" x14ac:dyDescent="0.25">
      <c r="H13" s="3"/>
    </row>
    <row r="14" spans="1:8" x14ac:dyDescent="0.25">
      <c r="B14" s="22"/>
      <c r="H14" s="3"/>
    </row>
  </sheetData>
  <sheetProtection algorithmName="SHA-512" hashValue="yB6Q1h7kxaopDFHaraJ0rIcbT6G5z8+fKwE0IivbHn9tEunpMA+PPT/Wr5W8u8Gz/GGqhHIIpwodPpiJKZ+2dA==" saltValue="Zq3pjDl2TgXksK9MWs3eDg==" spinCount="100000" sheet="1" objects="1" scenarios="1" selectLockedCells="1"/>
  <conditionalFormatting sqref="D8:D18">
    <cfRule type="iconSet" priority="4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Sheet1.GetCompanyMasterData">
                <anchor moveWithCells="1" sizeWithCells="1">
                  <from>
                    <xdr:col>2</xdr:col>
                    <xdr:colOff>361950</xdr:colOff>
                    <xdr:row>2</xdr:row>
                    <xdr:rowOff>9525</xdr:rowOff>
                  </from>
                  <to>
                    <xdr:col>2</xdr:col>
                    <xdr:colOff>2695575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Mod_ClearStatus_Main">
                <anchor moveWithCells="1" sizeWithCells="1">
                  <from>
                    <xdr:col>2</xdr:col>
                    <xdr:colOff>3000375</xdr:colOff>
                    <xdr:row>2</xdr:row>
                    <xdr:rowOff>9525</xdr:rowOff>
                  </from>
                  <to>
                    <xdr:col>3</xdr:col>
                    <xdr:colOff>876300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_GetCompanyList" altText="Get Columns">
                <anchor moveWithCells="1" sizeWithCells="1">
                  <from>
                    <xdr:col>0</xdr:col>
                    <xdr:colOff>1019175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DataList!$A$2:$A$100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173"/>
  <sheetViews>
    <sheetView tabSelected="1" workbookViewId="0">
      <selection activeCell="H6" sqref="H6"/>
    </sheetView>
  </sheetViews>
  <sheetFormatPr defaultRowHeight="15" x14ac:dyDescent="0.25"/>
  <cols>
    <col min="1" max="1" width="7.5703125" style="13" customWidth="1"/>
    <col min="2" max="2" width="8.85546875" style="2" customWidth="1"/>
    <col min="3" max="3" width="14.5703125" customWidth="1"/>
    <col min="4" max="4" width="31.7109375" style="12" customWidth="1"/>
    <col min="5" max="5" width="10.140625" style="14" customWidth="1"/>
    <col min="6" max="6" width="10.42578125" style="14" customWidth="1"/>
    <col min="7" max="7" width="9.5703125" style="14" customWidth="1"/>
    <col min="8" max="8" width="9.85546875" style="14" customWidth="1"/>
    <col min="9" max="9" width="10.42578125" style="14" customWidth="1"/>
    <col min="10" max="10" width="10.28515625" style="14" customWidth="1"/>
    <col min="11" max="11" width="9.85546875" style="14" customWidth="1"/>
    <col min="12" max="12" width="10.28515625" style="14" customWidth="1"/>
    <col min="13" max="13" width="9.7109375" style="14" customWidth="1"/>
    <col min="14" max="15" width="10.28515625" style="14" customWidth="1"/>
    <col min="16" max="16" width="10.7109375" style="33" customWidth="1"/>
    <col min="17" max="26" width="9.140625" style="13"/>
  </cols>
  <sheetData>
    <row r="1" spans="1:26" s="25" customFormat="1" ht="15.75" thickBot="1" x14ac:dyDescent="0.3">
      <c r="A1" s="15"/>
      <c r="B1" s="39"/>
      <c r="C1" s="40" t="s">
        <v>33</v>
      </c>
      <c r="D1" s="37" t="s">
        <v>16</v>
      </c>
      <c r="E1" s="41">
        <f>VLOOKUP($D$1,DataList!E2:H100,2)</f>
        <v>17</v>
      </c>
      <c r="F1" s="42"/>
      <c r="G1" s="42"/>
      <c r="H1" s="42"/>
      <c r="I1" s="42"/>
      <c r="J1" s="42"/>
      <c r="K1" s="42"/>
      <c r="L1" s="42"/>
      <c r="M1" s="42"/>
      <c r="N1" s="42"/>
      <c r="O1" s="42"/>
      <c r="P1" s="43"/>
      <c r="Q1" s="44"/>
      <c r="R1" s="44"/>
      <c r="S1" s="44"/>
      <c r="T1" s="44"/>
      <c r="U1" s="44"/>
      <c r="V1" s="44"/>
      <c r="W1" s="44"/>
      <c r="X1" s="44"/>
      <c r="Y1" s="44"/>
      <c r="Z1" s="44"/>
    </row>
    <row r="2" spans="1:26" s="25" customFormat="1" ht="15.75" thickBot="1" x14ac:dyDescent="0.3">
      <c r="A2" s="45"/>
      <c r="B2" s="46"/>
      <c r="C2" s="40" t="s">
        <v>35</v>
      </c>
      <c r="D2" s="37">
        <v>2015</v>
      </c>
      <c r="E2" s="47">
        <f>D2</f>
        <v>2015</v>
      </c>
      <c r="F2" s="48"/>
      <c r="G2" s="48"/>
      <c r="H2" s="48"/>
      <c r="I2" s="48"/>
      <c r="J2" s="48"/>
      <c r="K2" s="48"/>
      <c r="L2" s="48"/>
      <c r="M2" s="48"/>
      <c r="N2" s="48"/>
      <c r="O2" s="48"/>
      <c r="P2" s="49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26" s="25" customFormat="1" ht="15.75" thickBot="1" x14ac:dyDescent="0.3">
      <c r="A3" s="45"/>
      <c r="B3" s="46"/>
      <c r="C3" s="40" t="s">
        <v>34</v>
      </c>
      <c r="D3" s="38" t="s">
        <v>36</v>
      </c>
      <c r="E3" s="47">
        <f>IF($D$3 = "Budget",1,2)</f>
        <v>1</v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26" s="25" customFormat="1" ht="15.75" thickBot="1" x14ac:dyDescent="0.3">
      <c r="A4" s="45"/>
      <c r="B4" s="46"/>
      <c r="C4" s="51"/>
      <c r="D4" s="52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9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s="25" customFormat="1" ht="15.75" thickBot="1" x14ac:dyDescent="0.3">
      <c r="A5" s="24" t="s">
        <v>2</v>
      </c>
      <c r="B5" s="53" t="s">
        <v>31</v>
      </c>
      <c r="C5" s="54" t="s">
        <v>5</v>
      </c>
      <c r="D5" s="55" t="s">
        <v>32</v>
      </c>
      <c r="E5" s="30" t="s">
        <v>19</v>
      </c>
      <c r="F5" s="31" t="s">
        <v>20</v>
      </c>
      <c r="G5" s="31" t="s">
        <v>21</v>
      </c>
      <c r="H5" s="31" t="s">
        <v>22</v>
      </c>
      <c r="I5" s="31" t="s">
        <v>23</v>
      </c>
      <c r="J5" s="31" t="s">
        <v>24</v>
      </c>
      <c r="K5" s="31" t="s">
        <v>25</v>
      </c>
      <c r="L5" s="31" t="s">
        <v>26</v>
      </c>
      <c r="M5" s="31" t="s">
        <v>27</v>
      </c>
      <c r="N5" s="31" t="s">
        <v>28</v>
      </c>
      <c r="O5" s="31" t="s">
        <v>29</v>
      </c>
      <c r="P5" s="32" t="s">
        <v>30</v>
      </c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x14ac:dyDescent="0.25">
      <c r="B6" s="2">
        <v>113</v>
      </c>
      <c r="C6" t="s">
        <v>41</v>
      </c>
      <c r="D6" s="12" t="s">
        <v>42</v>
      </c>
      <c r="E6" s="14">
        <v>10</v>
      </c>
      <c r="F6" s="14">
        <v>10</v>
      </c>
      <c r="G6" s="14">
        <v>11</v>
      </c>
      <c r="H6" s="14">
        <v>12</v>
      </c>
      <c r="I6" s="14">
        <v>13</v>
      </c>
      <c r="J6" s="14">
        <v>14</v>
      </c>
      <c r="K6" s="14">
        <v>15</v>
      </c>
      <c r="L6" s="14">
        <v>9</v>
      </c>
      <c r="M6" s="14">
        <v>5</v>
      </c>
      <c r="N6" s="14">
        <v>6</v>
      </c>
      <c r="O6" s="14">
        <v>7</v>
      </c>
      <c r="P6" s="33">
        <v>10</v>
      </c>
    </row>
    <row r="7" spans="1:26" x14ac:dyDescent="0.25">
      <c r="B7" s="2">
        <v>114</v>
      </c>
      <c r="C7" t="s">
        <v>43</v>
      </c>
      <c r="D7" s="12" t="s">
        <v>44</v>
      </c>
      <c r="E7" s="14">
        <v>4</v>
      </c>
      <c r="F7" s="14">
        <v>3</v>
      </c>
      <c r="G7" s="14">
        <v>5</v>
      </c>
      <c r="H7" s="14">
        <v>4</v>
      </c>
      <c r="I7" s="14">
        <v>4</v>
      </c>
      <c r="J7" s="14">
        <v>7</v>
      </c>
      <c r="K7" s="14">
        <v>6</v>
      </c>
      <c r="L7" s="14">
        <v>7</v>
      </c>
      <c r="M7" s="14">
        <v>6</v>
      </c>
      <c r="N7" s="14">
        <v>5</v>
      </c>
      <c r="O7" s="14">
        <v>8</v>
      </c>
      <c r="P7" s="33">
        <v>9</v>
      </c>
    </row>
    <row r="8" spans="1:26" x14ac:dyDescent="0.25">
      <c r="B8" s="2">
        <v>115</v>
      </c>
      <c r="C8" t="s">
        <v>45</v>
      </c>
      <c r="D8" s="12" t="s">
        <v>46</v>
      </c>
      <c r="E8" s="14">
        <v>220</v>
      </c>
      <c r="F8" s="14">
        <v>220</v>
      </c>
      <c r="G8" s="14">
        <v>250</v>
      </c>
      <c r="H8" s="14">
        <v>270</v>
      </c>
      <c r="I8" s="14">
        <v>285</v>
      </c>
      <c r="J8" s="14">
        <v>295</v>
      </c>
      <c r="K8" s="14">
        <v>340</v>
      </c>
      <c r="L8" s="14">
        <v>380</v>
      </c>
      <c r="M8" s="14">
        <v>450</v>
      </c>
      <c r="N8" s="14">
        <v>470</v>
      </c>
      <c r="O8" s="14">
        <v>480</v>
      </c>
      <c r="P8" s="33">
        <v>485</v>
      </c>
    </row>
    <row r="9" spans="1:26" x14ac:dyDescent="0.25">
      <c r="B9" s="2">
        <v>116</v>
      </c>
      <c r="C9" t="s">
        <v>47</v>
      </c>
      <c r="D9" s="12" t="s">
        <v>48</v>
      </c>
      <c r="E9" s="14">
        <v>10</v>
      </c>
      <c r="F9" s="14">
        <v>10</v>
      </c>
      <c r="G9" s="14">
        <v>10</v>
      </c>
      <c r="H9" s="14">
        <v>10</v>
      </c>
      <c r="I9" s="14">
        <v>10</v>
      </c>
      <c r="J9" s="14">
        <v>20</v>
      </c>
      <c r="K9" s="14">
        <v>20</v>
      </c>
      <c r="L9" s="14">
        <v>20</v>
      </c>
      <c r="M9" s="14">
        <v>20</v>
      </c>
      <c r="N9" s="14">
        <v>20</v>
      </c>
      <c r="O9" s="14">
        <v>20</v>
      </c>
      <c r="P9" s="33">
        <v>20</v>
      </c>
    </row>
    <row r="10" spans="1:26" x14ac:dyDescent="0.25">
      <c r="B10" s="2">
        <v>117</v>
      </c>
      <c r="C10" t="s">
        <v>49</v>
      </c>
      <c r="D10" s="12" t="s">
        <v>50</v>
      </c>
      <c r="E10" s="14">
        <v>550</v>
      </c>
      <c r="F10" s="14">
        <v>366.66669999999999</v>
      </c>
      <c r="G10" s="14">
        <v>416.66669999999999</v>
      </c>
      <c r="H10" s="14">
        <v>450</v>
      </c>
      <c r="I10" s="14">
        <v>475</v>
      </c>
      <c r="J10" s="14">
        <v>491.66669999999999</v>
      </c>
      <c r="K10" s="14">
        <v>566.66669999999999</v>
      </c>
      <c r="L10" s="14">
        <v>633.33330000000001</v>
      </c>
      <c r="M10" s="14">
        <v>750</v>
      </c>
      <c r="N10" s="14">
        <v>783.33330000000001</v>
      </c>
      <c r="O10" s="14">
        <v>800</v>
      </c>
      <c r="P10" s="33">
        <v>808.33330000000001</v>
      </c>
    </row>
    <row r="11" spans="1:26" x14ac:dyDescent="0.25">
      <c r="B11" s="2">
        <v>118</v>
      </c>
      <c r="C11" t="s">
        <v>51</v>
      </c>
      <c r="D11" s="12" t="s">
        <v>52</v>
      </c>
      <c r="E11" s="14">
        <v>22</v>
      </c>
      <c r="F11" s="14">
        <v>22</v>
      </c>
      <c r="G11" s="14">
        <v>22.7273</v>
      </c>
      <c r="H11" s="14">
        <v>22.5</v>
      </c>
      <c r="I11" s="14">
        <v>19</v>
      </c>
      <c r="J11" s="14">
        <v>21.071400000000001</v>
      </c>
      <c r="K11" s="14">
        <v>22.666699999999999</v>
      </c>
      <c r="L11" s="14">
        <v>42.222200000000001</v>
      </c>
      <c r="M11" s="14">
        <v>90</v>
      </c>
      <c r="N11" s="14">
        <v>78.333299999999994</v>
      </c>
      <c r="O11" s="14">
        <v>68.571399999999997</v>
      </c>
      <c r="P11" s="33">
        <v>48.5</v>
      </c>
    </row>
    <row r="12" spans="1:26" x14ac:dyDescent="0.25">
      <c r="B12" s="2">
        <v>119</v>
      </c>
      <c r="C12" t="s">
        <v>53</v>
      </c>
      <c r="D12" s="12" t="s">
        <v>54</v>
      </c>
      <c r="E12" s="14">
        <v>0.85299999999999998</v>
      </c>
      <c r="F12" s="14">
        <v>0.85299999999999998</v>
      </c>
      <c r="G12" s="14">
        <v>0.85299999999999998</v>
      </c>
      <c r="H12" s="14">
        <v>0.85299999999999998</v>
      </c>
      <c r="I12" s="14">
        <v>0.85299999999999998</v>
      </c>
      <c r="J12" s="14">
        <v>0.85299999999999998</v>
      </c>
      <c r="K12" s="14">
        <v>0.85299999999999998</v>
      </c>
      <c r="L12" s="14">
        <v>0.85299999999999998</v>
      </c>
      <c r="M12" s="14">
        <v>0.85299999999999998</v>
      </c>
      <c r="N12" s="14">
        <v>0.85299999999999998</v>
      </c>
      <c r="O12" s="14">
        <v>0.85299999999999998</v>
      </c>
      <c r="P12" s="33">
        <v>0.85299999999999998</v>
      </c>
    </row>
    <row r="13" spans="1:26" x14ac:dyDescent="0.25">
      <c r="B13" s="2">
        <v>120</v>
      </c>
      <c r="C13" t="s">
        <v>55</v>
      </c>
      <c r="D13" s="12" t="s">
        <v>56</v>
      </c>
      <c r="E13" s="14">
        <v>50</v>
      </c>
      <c r="F13" s="14">
        <v>50</v>
      </c>
      <c r="G13" s="14">
        <v>50</v>
      </c>
      <c r="H13" s="14">
        <v>50</v>
      </c>
      <c r="I13" s="14">
        <v>50</v>
      </c>
      <c r="J13" s="14">
        <v>50</v>
      </c>
      <c r="K13" s="14">
        <v>50</v>
      </c>
      <c r="L13" s="14">
        <v>50</v>
      </c>
      <c r="M13" s="14">
        <v>50</v>
      </c>
      <c r="N13" s="14">
        <v>50</v>
      </c>
      <c r="O13" s="14">
        <v>50</v>
      </c>
      <c r="P13" s="33">
        <v>50</v>
      </c>
    </row>
    <row r="14" spans="1:26" x14ac:dyDescent="0.25">
      <c r="B14" s="2">
        <v>121</v>
      </c>
      <c r="C14" t="s">
        <v>57</v>
      </c>
      <c r="D14" s="12" t="s">
        <v>58</v>
      </c>
      <c r="E14" s="14">
        <v>14.1935</v>
      </c>
      <c r="F14" s="14">
        <v>14.1935</v>
      </c>
      <c r="G14" s="14">
        <v>16.129000000000001</v>
      </c>
      <c r="H14" s="14">
        <v>17.4194</v>
      </c>
      <c r="I14" s="14">
        <v>18.3871</v>
      </c>
      <c r="J14" s="14">
        <v>19.032299999999999</v>
      </c>
      <c r="K14" s="14">
        <v>21.935500000000001</v>
      </c>
      <c r="L14" s="14">
        <v>24.516100000000002</v>
      </c>
      <c r="M14" s="14">
        <v>29.032299999999999</v>
      </c>
      <c r="N14" s="14">
        <v>30.322600000000001</v>
      </c>
      <c r="O14" s="14">
        <v>30.967700000000001</v>
      </c>
      <c r="P14" s="33">
        <v>31.290299999999998</v>
      </c>
    </row>
    <row r="15" spans="1:26" x14ac:dyDescent="0.25">
      <c r="B15" s="2">
        <v>122</v>
      </c>
      <c r="C15" t="s">
        <v>59</v>
      </c>
      <c r="D15" s="12" t="s">
        <v>60</v>
      </c>
      <c r="E15" s="14">
        <v>1</v>
      </c>
      <c r="F15" s="14">
        <v>116</v>
      </c>
      <c r="G15" s="14">
        <v>387</v>
      </c>
      <c r="H15" s="14">
        <v>624</v>
      </c>
      <c r="I15" s="14">
        <v>945</v>
      </c>
      <c r="J15" s="14">
        <v>1307</v>
      </c>
      <c r="K15" s="14">
        <v>1695</v>
      </c>
      <c r="L15" s="14">
        <v>1929</v>
      </c>
      <c r="M15" s="14">
        <v>2135</v>
      </c>
      <c r="N15" s="14">
        <v>2500</v>
      </c>
      <c r="O15" s="14">
        <v>2720</v>
      </c>
      <c r="P15" s="33">
        <v>3112</v>
      </c>
    </row>
    <row r="16" spans="1:26" x14ac:dyDescent="0.25">
      <c r="B16" s="2">
        <v>123</v>
      </c>
      <c r="C16" t="s">
        <v>61</v>
      </c>
      <c r="D16" s="12" t="s">
        <v>62</v>
      </c>
      <c r="E16" s="14">
        <v>1</v>
      </c>
      <c r="F16" s="14">
        <v>400</v>
      </c>
      <c r="G16" s="14">
        <v>75</v>
      </c>
      <c r="H16" s="14">
        <v>125</v>
      </c>
      <c r="I16" s="14">
        <v>145</v>
      </c>
      <c r="J16" s="14">
        <v>245</v>
      </c>
      <c r="K16" s="14">
        <v>300</v>
      </c>
      <c r="L16" s="14">
        <v>500</v>
      </c>
      <c r="M16" s="14">
        <v>600</v>
      </c>
      <c r="N16" s="14">
        <v>700</v>
      </c>
      <c r="O16" s="14">
        <v>800</v>
      </c>
      <c r="P16" s="33">
        <v>1000</v>
      </c>
    </row>
    <row r="17" spans="2:16" x14ac:dyDescent="0.25">
      <c r="B17" s="2">
        <v>124</v>
      </c>
      <c r="C17" t="s">
        <v>63</v>
      </c>
      <c r="D17" s="12" t="s">
        <v>64</v>
      </c>
      <c r="E17" s="14">
        <v>1</v>
      </c>
      <c r="F17" s="14">
        <v>25</v>
      </c>
      <c r="G17" s="14">
        <v>45</v>
      </c>
      <c r="H17" s="14">
        <v>60</v>
      </c>
      <c r="I17" s="14">
        <v>75</v>
      </c>
      <c r="J17" s="14">
        <v>90</v>
      </c>
      <c r="K17" s="14">
        <v>125</v>
      </c>
      <c r="L17" s="14">
        <v>150</v>
      </c>
      <c r="M17" s="14">
        <v>175</v>
      </c>
      <c r="N17" s="14">
        <v>200</v>
      </c>
      <c r="O17" s="14">
        <v>225</v>
      </c>
      <c r="P17" s="33">
        <v>300</v>
      </c>
    </row>
    <row r="18" spans="2:16" x14ac:dyDescent="0.25">
      <c r="B18" s="2">
        <v>125</v>
      </c>
      <c r="C18" t="s">
        <v>65</v>
      </c>
      <c r="D18" s="12" t="s">
        <v>66</v>
      </c>
      <c r="E18" s="14">
        <v>1</v>
      </c>
      <c r="F18" s="14">
        <v>25</v>
      </c>
      <c r="G18" s="14">
        <v>60</v>
      </c>
      <c r="H18" s="14">
        <v>60</v>
      </c>
      <c r="I18" s="14">
        <v>70</v>
      </c>
      <c r="J18" s="14">
        <v>70</v>
      </c>
      <c r="K18" s="14">
        <v>130</v>
      </c>
      <c r="L18" s="14">
        <v>145</v>
      </c>
      <c r="M18" s="14">
        <v>165</v>
      </c>
      <c r="N18" s="14">
        <v>195</v>
      </c>
      <c r="O18" s="14">
        <v>200</v>
      </c>
      <c r="P18" s="33">
        <v>245</v>
      </c>
    </row>
    <row r="19" spans="2:16" x14ac:dyDescent="0.25">
      <c r="B19" s="2">
        <v>126</v>
      </c>
      <c r="C19" t="s">
        <v>67</v>
      </c>
      <c r="D19" s="12" t="s">
        <v>68</v>
      </c>
      <c r="E19" s="14">
        <v>-2</v>
      </c>
      <c r="F19" s="14">
        <v>-334</v>
      </c>
      <c r="G19" s="14">
        <v>207</v>
      </c>
      <c r="H19" s="14">
        <v>379</v>
      </c>
      <c r="I19" s="14">
        <v>655</v>
      </c>
      <c r="J19" s="14">
        <v>902</v>
      </c>
      <c r="K19" s="14">
        <v>1140</v>
      </c>
      <c r="L19" s="14">
        <v>1134</v>
      </c>
      <c r="M19" s="14">
        <v>1195</v>
      </c>
      <c r="N19" s="14">
        <v>1405</v>
      </c>
      <c r="O19" s="14">
        <v>1495</v>
      </c>
      <c r="P19" s="33">
        <v>1567</v>
      </c>
    </row>
    <row r="20" spans="2:16" x14ac:dyDescent="0.25">
      <c r="B20" s="2">
        <v>127</v>
      </c>
      <c r="C20" t="s">
        <v>69</v>
      </c>
      <c r="D20" s="12" t="s">
        <v>70</v>
      </c>
      <c r="E20" s="14">
        <v>1</v>
      </c>
      <c r="F20" s="14">
        <v>25</v>
      </c>
      <c r="G20" s="14">
        <v>40</v>
      </c>
      <c r="H20" s="14">
        <v>60</v>
      </c>
      <c r="I20" s="14">
        <v>75</v>
      </c>
      <c r="J20" s="14">
        <v>90</v>
      </c>
      <c r="K20" s="14">
        <v>125</v>
      </c>
      <c r="L20" s="14">
        <v>150</v>
      </c>
      <c r="M20" s="14">
        <v>175</v>
      </c>
      <c r="N20" s="14">
        <v>200</v>
      </c>
      <c r="O20" s="14">
        <v>225</v>
      </c>
      <c r="P20" s="33">
        <v>300</v>
      </c>
    </row>
    <row r="21" spans="2:16" x14ac:dyDescent="0.25">
      <c r="B21" s="2">
        <v>128</v>
      </c>
      <c r="C21" t="s">
        <v>71</v>
      </c>
      <c r="D21" s="12" t="s">
        <v>72</v>
      </c>
      <c r="E21" s="14">
        <v>-3</v>
      </c>
      <c r="F21" s="14">
        <v>-679</v>
      </c>
      <c r="G21" s="14">
        <v>-183</v>
      </c>
      <c r="H21" s="14">
        <v>-41</v>
      </c>
      <c r="I21" s="14">
        <v>202</v>
      </c>
      <c r="J21" s="14">
        <v>412</v>
      </c>
      <c r="K21" s="14">
        <v>595</v>
      </c>
      <c r="L21" s="14">
        <v>384</v>
      </c>
      <c r="M21" s="14">
        <v>320</v>
      </c>
      <c r="N21" s="14">
        <v>505</v>
      </c>
      <c r="O21" s="14">
        <v>570</v>
      </c>
      <c r="P21" s="33">
        <v>567</v>
      </c>
    </row>
    <row r="22" spans="2:16" x14ac:dyDescent="0.25">
      <c r="B22" s="2">
        <v>129</v>
      </c>
      <c r="C22" t="s">
        <v>73</v>
      </c>
      <c r="D22" s="12" t="s">
        <v>74</v>
      </c>
      <c r="E22" s="14">
        <v>25</v>
      </c>
      <c r="F22" s="14">
        <v>25</v>
      </c>
      <c r="G22" s="14">
        <v>25</v>
      </c>
      <c r="H22" s="14">
        <v>25</v>
      </c>
      <c r="I22" s="14">
        <v>25</v>
      </c>
      <c r="J22" s="14">
        <v>25</v>
      </c>
      <c r="K22" s="14">
        <v>25</v>
      </c>
      <c r="L22" s="14">
        <v>25</v>
      </c>
      <c r="M22" s="14">
        <v>25</v>
      </c>
      <c r="N22" s="14">
        <v>25</v>
      </c>
      <c r="O22" s="14">
        <v>25</v>
      </c>
      <c r="P22" s="33">
        <v>25</v>
      </c>
    </row>
    <row r="23" spans="2:16" x14ac:dyDescent="0.25">
      <c r="B23" s="2">
        <v>130</v>
      </c>
      <c r="C23" t="s">
        <v>75</v>
      </c>
      <c r="D23" s="12" t="s">
        <v>76</v>
      </c>
      <c r="E23" s="14">
        <v>1</v>
      </c>
      <c r="F23" s="14">
        <v>0</v>
      </c>
      <c r="G23" s="14">
        <v>0</v>
      </c>
      <c r="H23" s="14">
        <v>0</v>
      </c>
      <c r="I23" s="14">
        <v>0</v>
      </c>
      <c r="J23" s="14">
        <v>40</v>
      </c>
      <c r="K23" s="14">
        <v>40</v>
      </c>
      <c r="L23" s="14">
        <v>40</v>
      </c>
      <c r="M23" s="14">
        <v>40</v>
      </c>
      <c r="N23" s="14">
        <v>40</v>
      </c>
      <c r="O23" s="14">
        <v>40</v>
      </c>
      <c r="P23" s="33">
        <v>40</v>
      </c>
    </row>
    <row r="24" spans="2:16" x14ac:dyDescent="0.25">
      <c r="B24" s="2">
        <v>131</v>
      </c>
      <c r="C24" t="s">
        <v>77</v>
      </c>
      <c r="D24" s="12" t="s">
        <v>78</v>
      </c>
      <c r="E24" s="14">
        <v>-29</v>
      </c>
      <c r="F24" s="14">
        <v>-704</v>
      </c>
      <c r="G24" s="14">
        <v>-208</v>
      </c>
      <c r="H24" s="14">
        <v>-66</v>
      </c>
      <c r="I24" s="14">
        <v>177</v>
      </c>
      <c r="J24" s="14">
        <v>347</v>
      </c>
      <c r="K24" s="14">
        <v>530</v>
      </c>
      <c r="L24" s="14">
        <v>319</v>
      </c>
      <c r="M24" s="14">
        <v>255</v>
      </c>
      <c r="N24" s="14">
        <v>440</v>
      </c>
      <c r="O24" s="14">
        <v>505</v>
      </c>
      <c r="P24" s="33">
        <v>502</v>
      </c>
    </row>
    <row r="25" spans="2:16" x14ac:dyDescent="0.25">
      <c r="B25" s="2">
        <v>132</v>
      </c>
      <c r="C25" t="s">
        <v>79</v>
      </c>
      <c r="D25" s="12" t="s">
        <v>80</v>
      </c>
      <c r="E25" s="14">
        <v>100</v>
      </c>
      <c r="F25" s="14">
        <v>620.68970000000002</v>
      </c>
      <c r="G25" s="14">
        <v>109.81910000000001</v>
      </c>
      <c r="H25" s="14">
        <v>77.724400000000003</v>
      </c>
      <c r="I25" s="14">
        <v>55.343899999999998</v>
      </c>
      <c r="J25" s="14">
        <v>49.349699999999999</v>
      </c>
      <c r="K25" s="14">
        <v>42.477899999999998</v>
      </c>
      <c r="L25" s="14">
        <v>57.0244</v>
      </c>
      <c r="M25" s="14">
        <v>60.889899999999997</v>
      </c>
      <c r="N25" s="14">
        <v>56</v>
      </c>
      <c r="O25" s="14">
        <v>55.147100000000002</v>
      </c>
      <c r="P25" s="33">
        <v>54.627200000000002</v>
      </c>
    </row>
    <row r="26" spans="2:16" x14ac:dyDescent="0.25">
      <c r="B26" s="2">
        <v>133</v>
      </c>
      <c r="C26" t="s">
        <v>81</v>
      </c>
      <c r="D26" s="12" t="s">
        <v>82</v>
      </c>
      <c r="E26" s="14">
        <v>5000</v>
      </c>
      <c r="F26" s="14">
        <v>275.8621</v>
      </c>
      <c r="G26" s="14">
        <v>90.439300000000003</v>
      </c>
      <c r="H26" s="14">
        <v>57.692300000000003</v>
      </c>
      <c r="I26" s="14">
        <v>40</v>
      </c>
      <c r="J26" s="14">
        <v>30.604399999999998</v>
      </c>
      <c r="K26" s="14">
        <v>24.7788</v>
      </c>
      <c r="L26" s="14">
        <v>31.104199999999999</v>
      </c>
      <c r="M26" s="14">
        <v>32.786900000000003</v>
      </c>
      <c r="N26" s="14">
        <v>28</v>
      </c>
      <c r="O26" s="14">
        <v>25.735299999999999</v>
      </c>
      <c r="P26" s="33">
        <v>22.493600000000001</v>
      </c>
    </row>
    <row r="27" spans="2:16" x14ac:dyDescent="0.25">
      <c r="B27" s="2">
        <v>134</v>
      </c>
      <c r="C27" t="s">
        <v>83</v>
      </c>
      <c r="D27" s="12" t="s">
        <v>84</v>
      </c>
      <c r="E27" s="14">
        <v>-5000</v>
      </c>
      <c r="F27" s="14">
        <v>-839.65520000000004</v>
      </c>
      <c r="G27" s="14">
        <v>-127.39019999999999</v>
      </c>
      <c r="H27" s="14">
        <v>-54.647399999999998</v>
      </c>
      <c r="I27" s="14">
        <v>-10.687799999999999</v>
      </c>
      <c r="J27" s="14">
        <v>7.8041</v>
      </c>
      <c r="K27" s="14">
        <v>17.699100000000001</v>
      </c>
      <c r="L27" s="14">
        <v>-3.4215</v>
      </c>
      <c r="M27" s="14">
        <v>-9.6019000000000005</v>
      </c>
      <c r="N27" s="14">
        <v>0.2</v>
      </c>
      <c r="O27" s="14">
        <v>3.4925999999999999</v>
      </c>
      <c r="P27" s="33">
        <v>5.3662999999999998</v>
      </c>
    </row>
    <row r="28" spans="2:16" x14ac:dyDescent="0.25">
      <c r="B28" s="2">
        <v>136</v>
      </c>
      <c r="C28" t="s">
        <v>85</v>
      </c>
      <c r="D28" s="12" t="s">
        <v>86</v>
      </c>
      <c r="E28" s="14">
        <v>-4</v>
      </c>
      <c r="F28" s="14">
        <v>-679</v>
      </c>
      <c r="G28" s="14">
        <v>-183</v>
      </c>
      <c r="H28" s="14">
        <v>-41</v>
      </c>
      <c r="I28" s="14">
        <v>202</v>
      </c>
      <c r="J28" s="14">
        <v>372</v>
      </c>
      <c r="K28" s="14">
        <v>555</v>
      </c>
      <c r="L28" s="14">
        <v>344</v>
      </c>
      <c r="M28" s="14">
        <v>280</v>
      </c>
      <c r="N28" s="14">
        <v>465</v>
      </c>
      <c r="O28" s="14">
        <v>530</v>
      </c>
      <c r="P28" s="33">
        <v>527</v>
      </c>
    </row>
    <row r="29" spans="2:16" x14ac:dyDescent="0.25">
      <c r="B29" s="2">
        <v>140</v>
      </c>
      <c r="C29" t="s">
        <v>87</v>
      </c>
      <c r="D29" s="12" t="s">
        <v>88</v>
      </c>
      <c r="E29" s="14">
        <v>-4</v>
      </c>
      <c r="F29" s="14">
        <v>-679</v>
      </c>
      <c r="G29" s="14">
        <v>-183</v>
      </c>
      <c r="H29" s="14">
        <v>-41</v>
      </c>
      <c r="I29" s="14">
        <v>202</v>
      </c>
      <c r="J29" s="14">
        <v>372</v>
      </c>
      <c r="K29" s="14">
        <v>555</v>
      </c>
      <c r="L29" s="14">
        <v>344</v>
      </c>
      <c r="M29" s="14">
        <v>280</v>
      </c>
      <c r="N29" s="14">
        <v>465</v>
      </c>
      <c r="O29" s="14">
        <v>530</v>
      </c>
      <c r="P29" s="33">
        <v>527</v>
      </c>
    </row>
    <row r="30" spans="2:16" x14ac:dyDescent="0.25">
      <c r="B30" s="2">
        <v>156</v>
      </c>
      <c r="C30" t="s">
        <v>89</v>
      </c>
      <c r="D30" s="12" t="s">
        <v>90</v>
      </c>
      <c r="E30" s="14">
        <v>1.4570000000000001</v>
      </c>
      <c r="F30" s="14">
        <v>1.4570000000000001</v>
      </c>
      <c r="G30" s="14">
        <v>1.6556</v>
      </c>
      <c r="H30" s="14">
        <v>1.7881</v>
      </c>
      <c r="I30" s="14">
        <v>1.8874</v>
      </c>
      <c r="J30" s="14">
        <v>1.9536</v>
      </c>
      <c r="K30" s="14">
        <v>2.2517</v>
      </c>
      <c r="L30" s="14">
        <v>2.5165999999999999</v>
      </c>
      <c r="M30" s="14">
        <v>2.9801000000000002</v>
      </c>
      <c r="N30" s="14">
        <v>3.1126</v>
      </c>
      <c r="O30" s="14">
        <v>3.1787999999999998</v>
      </c>
      <c r="P30" s="33">
        <v>3.2119</v>
      </c>
    </row>
    <row r="31" spans="2:16" x14ac:dyDescent="0.25">
      <c r="B31" s="2">
        <v>157</v>
      </c>
      <c r="C31" t="s">
        <v>91</v>
      </c>
      <c r="D31" s="12" t="s">
        <v>68</v>
      </c>
      <c r="E31" s="14">
        <v>1</v>
      </c>
      <c r="F31" s="14">
        <v>-288</v>
      </c>
      <c r="G31" s="14">
        <v>53</v>
      </c>
      <c r="H31" s="14">
        <v>61</v>
      </c>
      <c r="I31" s="14">
        <v>69</v>
      </c>
      <c r="J31" s="14">
        <v>69</v>
      </c>
      <c r="K31" s="14">
        <v>67</v>
      </c>
      <c r="L31" s="14">
        <v>59</v>
      </c>
      <c r="M31" s="14">
        <v>56</v>
      </c>
      <c r="N31" s="14">
        <v>56</v>
      </c>
      <c r="O31" s="14">
        <v>55</v>
      </c>
      <c r="P31" s="33">
        <v>50</v>
      </c>
    </row>
    <row r="32" spans="2:16" ht="30" x14ac:dyDescent="0.25">
      <c r="B32" s="2">
        <v>158</v>
      </c>
      <c r="C32" t="s">
        <v>92</v>
      </c>
      <c r="D32" s="12" t="s">
        <v>93</v>
      </c>
      <c r="E32" s="14">
        <v>100</v>
      </c>
      <c r="F32" s="14">
        <v>100</v>
      </c>
      <c r="G32" s="14">
        <v>100</v>
      </c>
      <c r="H32" s="14">
        <v>100</v>
      </c>
      <c r="I32" s="14">
        <v>100</v>
      </c>
      <c r="J32" s="14">
        <v>100</v>
      </c>
      <c r="K32" s="14">
        <v>100</v>
      </c>
      <c r="L32" s="14">
        <v>100</v>
      </c>
      <c r="M32" s="14">
        <v>100</v>
      </c>
      <c r="N32" s="14">
        <v>100</v>
      </c>
      <c r="O32" s="14">
        <v>100</v>
      </c>
      <c r="P32" s="33">
        <v>100</v>
      </c>
    </row>
    <row r="33" spans="2:16" ht="30" x14ac:dyDescent="0.25">
      <c r="B33" s="2">
        <v>159</v>
      </c>
      <c r="C33" t="s">
        <v>94</v>
      </c>
      <c r="D33" s="12" t="s">
        <v>95</v>
      </c>
      <c r="E33" s="14">
        <v>2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33">
        <v>0</v>
      </c>
    </row>
    <row r="34" spans="2:16" x14ac:dyDescent="0.25">
      <c r="B34" s="2">
        <v>162</v>
      </c>
      <c r="C34" t="s">
        <v>96</v>
      </c>
      <c r="D34" s="12" t="s">
        <v>97</v>
      </c>
      <c r="E34" s="14">
        <v>2.5000000000000001E-2</v>
      </c>
      <c r="F34" s="14">
        <v>2.5000000000000001E-2</v>
      </c>
      <c r="G34" s="14">
        <v>2.5000000000000001E-2</v>
      </c>
      <c r="H34" s="14">
        <v>2.5000000000000001E-2</v>
      </c>
      <c r="I34" s="14">
        <v>2.5000000000000001E-2</v>
      </c>
      <c r="J34" s="14">
        <v>2.5000000000000001E-2</v>
      </c>
      <c r="K34" s="14">
        <v>2.5000000000000001E-2</v>
      </c>
      <c r="L34" s="14">
        <v>2.5000000000000001E-2</v>
      </c>
      <c r="M34" s="14">
        <v>2.5000000000000001E-2</v>
      </c>
      <c r="N34" s="14">
        <v>2.5000000000000001E-2</v>
      </c>
      <c r="O34" s="14">
        <v>2.5000000000000001E-2</v>
      </c>
      <c r="P34" s="33">
        <v>2.5000000000000001E-2</v>
      </c>
    </row>
    <row r="35" spans="2:16" ht="30" x14ac:dyDescent="0.25">
      <c r="B35" s="2">
        <v>165</v>
      </c>
      <c r="C35" t="s">
        <v>98</v>
      </c>
      <c r="D35" s="12" t="s">
        <v>99</v>
      </c>
      <c r="E35" s="14">
        <v>100</v>
      </c>
      <c r="F35" s="14">
        <v>100</v>
      </c>
      <c r="G35" s="14">
        <v>100</v>
      </c>
      <c r="H35" s="14">
        <v>100</v>
      </c>
      <c r="I35" s="14">
        <v>100</v>
      </c>
      <c r="J35" s="14">
        <v>100</v>
      </c>
      <c r="K35" s="14">
        <v>100</v>
      </c>
      <c r="L35" s="14">
        <v>100</v>
      </c>
      <c r="M35" s="14">
        <v>100</v>
      </c>
      <c r="N35" s="14">
        <v>100</v>
      </c>
      <c r="O35" s="14">
        <v>100</v>
      </c>
      <c r="P35" s="33">
        <v>100</v>
      </c>
    </row>
    <row r="36" spans="2:16" ht="45" x14ac:dyDescent="0.25">
      <c r="B36" s="2">
        <v>167</v>
      </c>
      <c r="C36" t="s">
        <v>98</v>
      </c>
      <c r="D36" s="12" t="s">
        <v>100</v>
      </c>
      <c r="E36" s="14">
        <v>100</v>
      </c>
      <c r="F36" s="14">
        <v>100</v>
      </c>
      <c r="G36" s="14">
        <v>100</v>
      </c>
      <c r="H36" s="14">
        <v>100</v>
      </c>
      <c r="I36" s="14">
        <v>100</v>
      </c>
      <c r="J36" s="14">
        <v>100</v>
      </c>
      <c r="K36" s="14">
        <v>100</v>
      </c>
      <c r="L36" s="14">
        <v>100</v>
      </c>
      <c r="M36" s="14">
        <v>100</v>
      </c>
      <c r="N36" s="14">
        <v>100</v>
      </c>
      <c r="O36" s="14">
        <v>100</v>
      </c>
      <c r="P36" s="33">
        <v>100</v>
      </c>
    </row>
    <row r="37" spans="2:16" x14ac:dyDescent="0.25">
      <c r="B37" s="2">
        <v>180</v>
      </c>
      <c r="C37" t="s">
        <v>101</v>
      </c>
      <c r="D37" s="12" t="s">
        <v>102</v>
      </c>
      <c r="E37" s="14">
        <v>1</v>
      </c>
      <c r="F37" s="14">
        <v>46.4</v>
      </c>
      <c r="G37" s="14">
        <v>154.80000000000001</v>
      </c>
      <c r="H37" s="14">
        <v>249.6</v>
      </c>
      <c r="I37" s="14">
        <v>378</v>
      </c>
      <c r="J37" s="14">
        <v>522.79999999999995</v>
      </c>
      <c r="K37" s="14">
        <v>678</v>
      </c>
      <c r="L37" s="14">
        <v>771.6</v>
      </c>
      <c r="M37" s="14">
        <v>854</v>
      </c>
      <c r="N37" s="14">
        <v>1000</v>
      </c>
      <c r="O37" s="14">
        <v>1088</v>
      </c>
      <c r="P37" s="33">
        <v>1244.8</v>
      </c>
    </row>
    <row r="38" spans="2:16" x14ac:dyDescent="0.25">
      <c r="B38" s="2">
        <v>181</v>
      </c>
      <c r="C38" t="s">
        <v>103</v>
      </c>
      <c r="D38" s="12" t="s">
        <v>104</v>
      </c>
      <c r="E38" s="14">
        <v>1</v>
      </c>
      <c r="F38" s="14">
        <v>69.599999999999994</v>
      </c>
      <c r="G38" s="14">
        <v>232.2</v>
      </c>
      <c r="H38" s="14">
        <v>374.4</v>
      </c>
      <c r="I38" s="14">
        <v>567</v>
      </c>
      <c r="J38" s="14">
        <v>784.2</v>
      </c>
      <c r="K38" s="14">
        <v>1017</v>
      </c>
      <c r="L38" s="14">
        <v>1157.4000000000001</v>
      </c>
      <c r="M38" s="14">
        <v>1281</v>
      </c>
      <c r="N38" s="14">
        <v>1500</v>
      </c>
      <c r="O38" s="14">
        <v>1632</v>
      </c>
      <c r="P38" s="33">
        <v>1867.2</v>
      </c>
    </row>
    <row r="39" spans="2:16" x14ac:dyDescent="0.25">
      <c r="B39" s="2">
        <v>196</v>
      </c>
      <c r="C39" t="s">
        <v>105</v>
      </c>
      <c r="D39" s="12" t="s">
        <v>106</v>
      </c>
      <c r="F39" s="14">
        <v>320</v>
      </c>
      <c r="G39" s="14">
        <v>350</v>
      </c>
      <c r="H39" s="14">
        <v>360</v>
      </c>
      <c r="I39" s="14">
        <v>378</v>
      </c>
      <c r="J39" s="14">
        <v>400</v>
      </c>
      <c r="K39" s="14">
        <v>420</v>
      </c>
      <c r="L39" s="14">
        <v>600</v>
      </c>
      <c r="M39" s="14">
        <v>700</v>
      </c>
      <c r="N39" s="14">
        <v>700</v>
      </c>
      <c r="O39" s="14">
        <v>700</v>
      </c>
      <c r="P39" s="33">
        <v>700</v>
      </c>
    </row>
    <row r="40" spans="2:16" x14ac:dyDescent="0.25">
      <c r="B40" s="2">
        <v>197</v>
      </c>
      <c r="C40" t="s">
        <v>107</v>
      </c>
      <c r="D40" s="12" t="s">
        <v>108</v>
      </c>
      <c r="E40" s="14">
        <v>1</v>
      </c>
      <c r="F40" s="14">
        <v>1</v>
      </c>
      <c r="G40" s="14">
        <v>1</v>
      </c>
      <c r="H40" s="14">
        <v>1</v>
      </c>
      <c r="I40" s="14">
        <v>1</v>
      </c>
      <c r="J40" s="14">
        <v>1</v>
      </c>
      <c r="K40" s="14">
        <v>1</v>
      </c>
      <c r="L40" s="14">
        <v>1</v>
      </c>
      <c r="M40" s="14">
        <v>1</v>
      </c>
      <c r="N40" s="14">
        <v>1</v>
      </c>
      <c r="O40" s="14">
        <v>1</v>
      </c>
      <c r="P40" s="33">
        <v>1</v>
      </c>
    </row>
    <row r="41" spans="2:16" x14ac:dyDescent="0.25">
      <c r="B41" s="2">
        <v>201</v>
      </c>
      <c r="C41" t="s">
        <v>109</v>
      </c>
      <c r="D41" s="12" t="s">
        <v>110</v>
      </c>
      <c r="E41" s="14">
        <v>200</v>
      </c>
      <c r="F41" s="14">
        <v>200</v>
      </c>
      <c r="G41" s="14">
        <v>200</v>
      </c>
      <c r="H41" s="14">
        <v>200</v>
      </c>
      <c r="I41" s="14">
        <v>200</v>
      </c>
      <c r="J41" s="14">
        <v>200</v>
      </c>
      <c r="K41" s="14">
        <v>200</v>
      </c>
      <c r="L41" s="14">
        <v>200</v>
      </c>
      <c r="M41" s="14">
        <v>200</v>
      </c>
      <c r="N41" s="14">
        <v>200</v>
      </c>
      <c r="O41" s="14">
        <v>200</v>
      </c>
      <c r="P41" s="33">
        <v>200</v>
      </c>
    </row>
    <row r="42" spans="2:16" x14ac:dyDescent="0.25">
      <c r="B42" s="2">
        <v>203</v>
      </c>
      <c r="C42" t="s">
        <v>111</v>
      </c>
      <c r="D42" s="12" t="s">
        <v>112</v>
      </c>
      <c r="E42" s="14">
        <v>0.9</v>
      </c>
      <c r="F42" s="14">
        <v>0.9</v>
      </c>
      <c r="G42" s="14">
        <v>0.9</v>
      </c>
      <c r="H42" s="14">
        <v>0.9</v>
      </c>
      <c r="I42" s="14">
        <v>0.9</v>
      </c>
      <c r="J42" s="14">
        <v>0.9</v>
      </c>
      <c r="K42" s="14">
        <v>0.9</v>
      </c>
      <c r="L42" s="14">
        <v>0.9</v>
      </c>
      <c r="M42" s="14">
        <v>0.9</v>
      </c>
      <c r="N42" s="14">
        <v>0.9</v>
      </c>
      <c r="O42" s="14">
        <v>0.9</v>
      </c>
      <c r="P42" s="33">
        <v>0.9</v>
      </c>
    </row>
    <row r="43" spans="2:16" x14ac:dyDescent="0.25">
      <c r="B43" s="2">
        <v>204</v>
      </c>
      <c r="C43" t="s">
        <v>113</v>
      </c>
      <c r="D43" s="12" t="s">
        <v>114</v>
      </c>
      <c r="E43" s="14">
        <v>0.2</v>
      </c>
      <c r="F43" s="14">
        <v>0.2</v>
      </c>
      <c r="G43" s="14">
        <v>0.2</v>
      </c>
      <c r="H43" s="14">
        <v>0.2</v>
      </c>
      <c r="I43" s="14">
        <v>0.2</v>
      </c>
      <c r="J43" s="14">
        <v>0.2</v>
      </c>
      <c r="K43" s="14">
        <v>0.2</v>
      </c>
      <c r="L43" s="14">
        <v>0.2</v>
      </c>
      <c r="M43" s="14">
        <v>0.2</v>
      </c>
      <c r="N43" s="14">
        <v>0.2</v>
      </c>
      <c r="O43" s="14">
        <v>0.2</v>
      </c>
      <c r="P43" s="33">
        <v>0.2</v>
      </c>
    </row>
    <row r="44" spans="2:16" x14ac:dyDescent="0.25">
      <c r="B44" s="2">
        <v>205</v>
      </c>
      <c r="C44" t="s">
        <v>115</v>
      </c>
      <c r="D44" s="12" t="s">
        <v>116</v>
      </c>
      <c r="E44" s="14">
        <v>0.18</v>
      </c>
      <c r="F44" s="14">
        <v>0.18</v>
      </c>
      <c r="G44" s="14">
        <v>0.18</v>
      </c>
      <c r="H44" s="14">
        <v>0.18</v>
      </c>
      <c r="I44" s="14">
        <v>0.18</v>
      </c>
      <c r="J44" s="14">
        <v>0.18</v>
      </c>
      <c r="K44" s="14">
        <v>0.18</v>
      </c>
      <c r="L44" s="14">
        <v>0.18</v>
      </c>
      <c r="M44" s="14">
        <v>0.18</v>
      </c>
      <c r="N44" s="14">
        <v>0.18</v>
      </c>
      <c r="O44" s="14">
        <v>0.18</v>
      </c>
      <c r="P44" s="33">
        <v>0.18</v>
      </c>
    </row>
    <row r="45" spans="2:16" x14ac:dyDescent="0.25">
      <c r="B45" s="2">
        <v>206</v>
      </c>
      <c r="C45" t="s">
        <v>117</v>
      </c>
      <c r="D45" s="12" t="s">
        <v>118</v>
      </c>
      <c r="E45" s="14">
        <v>1</v>
      </c>
      <c r="F45" s="14">
        <v>1</v>
      </c>
      <c r="G45" s="14">
        <v>1</v>
      </c>
      <c r="H45" s="14">
        <v>1</v>
      </c>
      <c r="I45" s="14">
        <v>1</v>
      </c>
      <c r="J45" s="14">
        <v>1</v>
      </c>
      <c r="K45" s="14">
        <v>1</v>
      </c>
      <c r="L45" s="14">
        <v>1</v>
      </c>
      <c r="M45" s="14">
        <v>1</v>
      </c>
      <c r="N45" s="14">
        <v>1</v>
      </c>
      <c r="O45" s="14">
        <v>1</v>
      </c>
      <c r="P45" s="33">
        <v>1</v>
      </c>
    </row>
    <row r="46" spans="2:16" x14ac:dyDescent="0.25">
      <c r="B46" s="2">
        <v>207</v>
      </c>
      <c r="C46" t="s">
        <v>119</v>
      </c>
      <c r="D46" s="12" t="s">
        <v>120</v>
      </c>
      <c r="E46" s="14">
        <v>1</v>
      </c>
      <c r="F46" s="14">
        <v>1</v>
      </c>
      <c r="G46" s="14">
        <v>1</v>
      </c>
      <c r="H46" s="14">
        <v>1</v>
      </c>
      <c r="I46" s="14">
        <v>1</v>
      </c>
      <c r="J46" s="14">
        <v>1</v>
      </c>
      <c r="K46" s="14">
        <v>1</v>
      </c>
      <c r="L46" s="14">
        <v>1</v>
      </c>
      <c r="M46" s="14">
        <v>1</v>
      </c>
      <c r="N46" s="14">
        <v>1</v>
      </c>
      <c r="O46" s="14">
        <v>1</v>
      </c>
      <c r="P46" s="33">
        <v>1</v>
      </c>
    </row>
    <row r="47" spans="2:16" x14ac:dyDescent="0.25">
      <c r="B47" s="2">
        <v>208</v>
      </c>
      <c r="C47" t="s">
        <v>121</v>
      </c>
      <c r="D47" s="12" t="s">
        <v>122</v>
      </c>
      <c r="E47" s="14">
        <v>1</v>
      </c>
      <c r="F47" s="14">
        <v>1</v>
      </c>
      <c r="G47" s="14">
        <v>1</v>
      </c>
      <c r="H47" s="14">
        <v>1</v>
      </c>
      <c r="I47" s="14">
        <v>1</v>
      </c>
      <c r="J47" s="14">
        <v>1</v>
      </c>
      <c r="K47" s="14">
        <v>1</v>
      </c>
      <c r="L47" s="14">
        <v>1</v>
      </c>
      <c r="M47" s="14">
        <v>1</v>
      </c>
      <c r="N47" s="14">
        <v>1</v>
      </c>
      <c r="O47" s="14">
        <v>1</v>
      </c>
      <c r="P47" s="33">
        <v>1</v>
      </c>
    </row>
    <row r="48" spans="2:16" x14ac:dyDescent="0.25">
      <c r="B48" s="2">
        <v>209</v>
      </c>
      <c r="C48" t="s">
        <v>123</v>
      </c>
      <c r="D48" s="12" t="s">
        <v>124</v>
      </c>
      <c r="E48" s="14">
        <v>1</v>
      </c>
      <c r="F48" s="14">
        <v>1</v>
      </c>
      <c r="G48" s="14">
        <v>1</v>
      </c>
      <c r="H48" s="14">
        <v>1</v>
      </c>
      <c r="I48" s="14">
        <v>1</v>
      </c>
      <c r="J48" s="14">
        <v>1</v>
      </c>
      <c r="K48" s="14">
        <v>1</v>
      </c>
      <c r="L48" s="14">
        <v>1</v>
      </c>
      <c r="M48" s="14">
        <v>1</v>
      </c>
      <c r="N48" s="14">
        <v>1</v>
      </c>
      <c r="O48" s="14">
        <v>1</v>
      </c>
      <c r="P48" s="33">
        <v>1</v>
      </c>
    </row>
    <row r="49" spans="2:16" x14ac:dyDescent="0.25">
      <c r="B49" s="2">
        <v>210</v>
      </c>
      <c r="C49" t="s">
        <v>125</v>
      </c>
      <c r="D49" s="12" t="s">
        <v>126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33">
        <v>0</v>
      </c>
    </row>
    <row r="50" spans="2:16" x14ac:dyDescent="0.25">
      <c r="B50" s="2">
        <v>211</v>
      </c>
      <c r="C50" t="s">
        <v>127</v>
      </c>
      <c r="D50" s="12" t="s">
        <v>128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33">
        <v>0</v>
      </c>
    </row>
    <row r="51" spans="2:16" ht="30" x14ac:dyDescent="0.25">
      <c r="B51" s="2">
        <v>212</v>
      </c>
      <c r="C51" t="s">
        <v>129</v>
      </c>
      <c r="D51" s="12" t="s">
        <v>130</v>
      </c>
      <c r="E51" s="14">
        <v>1</v>
      </c>
      <c r="F51" s="14">
        <v>1</v>
      </c>
      <c r="G51" s="14">
        <v>1</v>
      </c>
      <c r="H51" s="14">
        <v>1</v>
      </c>
      <c r="I51" s="14">
        <v>1</v>
      </c>
      <c r="J51" s="14">
        <v>1</v>
      </c>
      <c r="K51" s="14">
        <v>1</v>
      </c>
      <c r="L51" s="14">
        <v>1</v>
      </c>
      <c r="M51" s="14">
        <v>1</v>
      </c>
      <c r="N51" s="14">
        <v>1</v>
      </c>
      <c r="O51" s="14">
        <v>1</v>
      </c>
      <c r="P51" s="33">
        <v>1</v>
      </c>
    </row>
    <row r="52" spans="2:16" ht="30" x14ac:dyDescent="0.25">
      <c r="B52" s="2">
        <v>213</v>
      </c>
      <c r="C52" t="s">
        <v>131</v>
      </c>
      <c r="D52" s="12" t="s">
        <v>132</v>
      </c>
      <c r="E52" s="14">
        <v>1</v>
      </c>
      <c r="F52" s="14">
        <v>1</v>
      </c>
      <c r="G52" s="14">
        <v>1</v>
      </c>
      <c r="H52" s="14">
        <v>1</v>
      </c>
      <c r="I52" s="14">
        <v>1</v>
      </c>
      <c r="J52" s="14">
        <v>1</v>
      </c>
      <c r="K52" s="14">
        <v>1</v>
      </c>
      <c r="L52" s="14">
        <v>1</v>
      </c>
      <c r="M52" s="14">
        <v>1</v>
      </c>
      <c r="N52" s="14">
        <v>1</v>
      </c>
      <c r="O52" s="14">
        <v>1</v>
      </c>
      <c r="P52" s="33">
        <v>1</v>
      </c>
    </row>
    <row r="53" spans="2:16" ht="30" x14ac:dyDescent="0.25">
      <c r="B53" s="2">
        <v>214</v>
      </c>
      <c r="C53" t="s">
        <v>133</v>
      </c>
      <c r="D53" s="12" t="s">
        <v>134</v>
      </c>
      <c r="E53" s="14">
        <v>1</v>
      </c>
      <c r="F53" s="14">
        <v>1</v>
      </c>
      <c r="G53" s="14">
        <v>1</v>
      </c>
      <c r="H53" s="14">
        <v>1</v>
      </c>
      <c r="I53" s="14">
        <v>1</v>
      </c>
      <c r="J53" s="14">
        <v>1</v>
      </c>
      <c r="K53" s="14">
        <v>1</v>
      </c>
      <c r="L53" s="14">
        <v>1</v>
      </c>
      <c r="M53" s="14">
        <v>1</v>
      </c>
      <c r="N53" s="14">
        <v>1</v>
      </c>
      <c r="O53" s="14">
        <v>1</v>
      </c>
      <c r="P53" s="33">
        <v>1</v>
      </c>
    </row>
    <row r="54" spans="2:16" x14ac:dyDescent="0.25">
      <c r="B54" s="2">
        <v>216</v>
      </c>
      <c r="C54" t="s">
        <v>135</v>
      </c>
      <c r="D54" s="12" t="s">
        <v>136</v>
      </c>
      <c r="E54" s="14">
        <v>4.5</v>
      </c>
      <c r="F54" s="14">
        <v>4.5</v>
      </c>
      <c r="G54" s="14">
        <v>4.5</v>
      </c>
      <c r="H54" s="14">
        <v>4.5</v>
      </c>
      <c r="I54" s="14">
        <v>4.5</v>
      </c>
      <c r="J54" s="14">
        <v>4.5</v>
      </c>
      <c r="K54" s="14">
        <v>4.5</v>
      </c>
      <c r="L54" s="14">
        <v>4.5</v>
      </c>
      <c r="M54" s="14">
        <v>4.5</v>
      </c>
      <c r="N54" s="14">
        <v>4.5</v>
      </c>
      <c r="O54" s="14">
        <v>4.5</v>
      </c>
      <c r="P54" s="33">
        <v>4.5</v>
      </c>
    </row>
    <row r="55" spans="2:16" x14ac:dyDescent="0.25">
      <c r="B55" s="2">
        <v>217</v>
      </c>
      <c r="C55" t="s">
        <v>137</v>
      </c>
      <c r="D55" s="12" t="s">
        <v>138</v>
      </c>
      <c r="E55" s="14">
        <v>4.5</v>
      </c>
      <c r="F55" s="14">
        <v>4.5</v>
      </c>
      <c r="G55" s="14">
        <v>4.5</v>
      </c>
      <c r="H55" s="14">
        <v>4.5</v>
      </c>
      <c r="I55" s="14">
        <v>4.5</v>
      </c>
      <c r="J55" s="14">
        <v>4.5</v>
      </c>
      <c r="K55" s="14">
        <v>4.5</v>
      </c>
      <c r="L55" s="14">
        <v>4.5</v>
      </c>
      <c r="M55" s="14">
        <v>4.5</v>
      </c>
      <c r="N55" s="14">
        <v>4.5</v>
      </c>
      <c r="O55" s="14">
        <v>4.5</v>
      </c>
      <c r="P55" s="33">
        <v>4.5</v>
      </c>
    </row>
    <row r="56" spans="2:16" x14ac:dyDescent="0.25">
      <c r="B56" s="2">
        <v>218</v>
      </c>
      <c r="C56" t="s">
        <v>139</v>
      </c>
      <c r="D56" s="12" t="s">
        <v>140</v>
      </c>
      <c r="E56" s="14">
        <v>4.5</v>
      </c>
      <c r="F56" s="14">
        <v>4.5</v>
      </c>
      <c r="G56" s="14">
        <v>4.5</v>
      </c>
      <c r="H56" s="14">
        <v>4.5</v>
      </c>
      <c r="I56" s="14">
        <v>4.5</v>
      </c>
      <c r="J56" s="14">
        <v>4.5</v>
      </c>
      <c r="K56" s="14">
        <v>4.5</v>
      </c>
      <c r="L56" s="14">
        <v>4.5</v>
      </c>
      <c r="M56" s="14">
        <v>4.5</v>
      </c>
      <c r="N56" s="14">
        <v>4.5</v>
      </c>
      <c r="O56" s="14">
        <v>4.5</v>
      </c>
      <c r="P56" s="33">
        <v>4.5</v>
      </c>
    </row>
    <row r="57" spans="2:16" x14ac:dyDescent="0.25">
      <c r="B57" s="2">
        <v>219</v>
      </c>
      <c r="C57" t="s">
        <v>141</v>
      </c>
      <c r="D57" s="12" t="s">
        <v>142</v>
      </c>
      <c r="E57" s="14">
        <v>1.1499999999999999</v>
      </c>
      <c r="F57" s="14">
        <v>1.1499999999999999</v>
      </c>
      <c r="G57" s="14">
        <v>1.1499999999999999</v>
      </c>
      <c r="H57" s="14">
        <v>1.1499999999999999</v>
      </c>
      <c r="I57" s="14">
        <v>1.1499999999999999</v>
      </c>
      <c r="J57" s="14">
        <v>1.1499999999999999</v>
      </c>
      <c r="K57" s="14">
        <v>1.1499999999999999</v>
      </c>
      <c r="L57" s="14">
        <v>1.1499999999999999</v>
      </c>
      <c r="M57" s="14">
        <v>1.1499999999999999</v>
      </c>
      <c r="N57" s="14">
        <v>1.1499999999999999</v>
      </c>
      <c r="O57" s="14">
        <v>1.1499999999999999</v>
      </c>
      <c r="P57" s="33">
        <v>1.1499999999999999</v>
      </c>
    </row>
    <row r="58" spans="2:16" x14ac:dyDescent="0.25">
      <c r="B58" s="2">
        <v>220</v>
      </c>
      <c r="C58" t="s">
        <v>143</v>
      </c>
      <c r="D58" s="12" t="s">
        <v>144</v>
      </c>
      <c r="E58" s="14">
        <v>3.4</v>
      </c>
      <c r="F58" s="14">
        <v>3.4</v>
      </c>
      <c r="G58" s="14">
        <v>3.4</v>
      </c>
      <c r="H58" s="14">
        <v>3.4</v>
      </c>
      <c r="I58" s="14">
        <v>3.4</v>
      </c>
      <c r="J58" s="14">
        <v>3.4</v>
      </c>
      <c r="K58" s="14">
        <v>3.4</v>
      </c>
      <c r="L58" s="14">
        <v>3.4</v>
      </c>
      <c r="M58" s="14">
        <v>3.4</v>
      </c>
      <c r="N58" s="14">
        <v>3.4</v>
      </c>
      <c r="O58" s="14">
        <v>3.4</v>
      </c>
      <c r="P58" s="33">
        <v>3.4</v>
      </c>
    </row>
    <row r="59" spans="2:16" x14ac:dyDescent="0.25">
      <c r="B59" s="2">
        <v>221</v>
      </c>
      <c r="C59" t="s">
        <v>145</v>
      </c>
      <c r="D59" s="12" t="s">
        <v>146</v>
      </c>
      <c r="E59" s="14">
        <v>0.06</v>
      </c>
      <c r="F59" s="14">
        <v>0.06</v>
      </c>
      <c r="G59" s="14">
        <v>0.06</v>
      </c>
      <c r="H59" s="14">
        <v>0.06</v>
      </c>
      <c r="I59" s="14">
        <v>0.06</v>
      </c>
      <c r="J59" s="14">
        <v>0.06</v>
      </c>
      <c r="K59" s="14">
        <v>0.06</v>
      </c>
      <c r="L59" s="14">
        <v>0.06</v>
      </c>
      <c r="M59" s="14">
        <v>0.06</v>
      </c>
      <c r="N59" s="14">
        <v>0.06</v>
      </c>
      <c r="O59" s="14">
        <v>0.06</v>
      </c>
      <c r="P59" s="33">
        <v>0.06</v>
      </c>
    </row>
    <row r="60" spans="2:16" x14ac:dyDescent="0.25">
      <c r="B60" s="2">
        <v>222</v>
      </c>
      <c r="C60" t="s">
        <v>147</v>
      </c>
      <c r="D60" s="12" t="s">
        <v>148</v>
      </c>
      <c r="E60" s="14">
        <v>0.9</v>
      </c>
      <c r="F60" s="14">
        <v>0.9</v>
      </c>
      <c r="G60" s="14">
        <v>0.9</v>
      </c>
      <c r="H60" s="14">
        <v>0.9</v>
      </c>
      <c r="I60" s="14">
        <v>0.9</v>
      </c>
      <c r="J60" s="14">
        <v>0.9</v>
      </c>
      <c r="K60" s="14">
        <v>0.9</v>
      </c>
      <c r="L60" s="14">
        <v>0.9</v>
      </c>
      <c r="M60" s="14">
        <v>0.9</v>
      </c>
      <c r="N60" s="14">
        <v>0.9</v>
      </c>
      <c r="O60" s="14">
        <v>0.9</v>
      </c>
      <c r="P60" s="33">
        <v>0.9</v>
      </c>
    </row>
    <row r="61" spans="2:16" x14ac:dyDescent="0.25">
      <c r="B61" s="2">
        <v>223</v>
      </c>
      <c r="C61" t="s">
        <v>149</v>
      </c>
      <c r="D61" s="12" t="s">
        <v>150</v>
      </c>
      <c r="E61" s="14">
        <v>1</v>
      </c>
      <c r="F61" s="14">
        <v>1</v>
      </c>
      <c r="G61" s="14">
        <v>1</v>
      </c>
      <c r="H61" s="14">
        <v>1</v>
      </c>
      <c r="I61" s="14">
        <v>1</v>
      </c>
      <c r="J61" s="14">
        <v>1</v>
      </c>
      <c r="K61" s="14">
        <v>1</v>
      </c>
      <c r="L61" s="14">
        <v>1</v>
      </c>
      <c r="M61" s="14">
        <v>1</v>
      </c>
      <c r="N61" s="14">
        <v>1</v>
      </c>
      <c r="O61" s="14">
        <v>1</v>
      </c>
      <c r="P61" s="33">
        <v>1</v>
      </c>
    </row>
    <row r="62" spans="2:16" ht="30" x14ac:dyDescent="0.25">
      <c r="B62" s="2">
        <v>224</v>
      </c>
      <c r="C62" t="s">
        <v>151</v>
      </c>
      <c r="D62" s="12" t="s">
        <v>152</v>
      </c>
      <c r="E62" s="14">
        <v>0.2</v>
      </c>
      <c r="F62" s="14">
        <v>0.2</v>
      </c>
      <c r="G62" s="14">
        <v>0.2</v>
      </c>
      <c r="H62" s="14">
        <v>0.2</v>
      </c>
      <c r="I62" s="14">
        <v>0.2</v>
      </c>
      <c r="J62" s="14">
        <v>0.2</v>
      </c>
      <c r="K62" s="14">
        <v>0.2</v>
      </c>
      <c r="L62" s="14">
        <v>0.2</v>
      </c>
      <c r="M62" s="14">
        <v>0.2</v>
      </c>
      <c r="N62" s="14">
        <v>0.2</v>
      </c>
      <c r="O62" s="14">
        <v>0.2</v>
      </c>
      <c r="P62" s="33">
        <v>0.2</v>
      </c>
    </row>
    <row r="63" spans="2:16" ht="30" x14ac:dyDescent="0.25">
      <c r="B63" s="2">
        <v>225</v>
      </c>
      <c r="C63" t="s">
        <v>153</v>
      </c>
      <c r="D63" s="12" t="s">
        <v>154</v>
      </c>
      <c r="E63" s="14">
        <v>0.85</v>
      </c>
      <c r="F63" s="14">
        <v>0.85</v>
      </c>
      <c r="G63" s="14">
        <v>0.85</v>
      </c>
      <c r="H63" s="14">
        <v>0.85</v>
      </c>
      <c r="I63" s="14">
        <v>0.85</v>
      </c>
      <c r="J63" s="14">
        <v>0.85</v>
      </c>
      <c r="K63" s="14">
        <v>0.85</v>
      </c>
      <c r="L63" s="14">
        <v>0.85</v>
      </c>
      <c r="M63" s="14">
        <v>0.85</v>
      </c>
      <c r="N63" s="14">
        <v>0.85</v>
      </c>
      <c r="O63" s="14">
        <v>0.85</v>
      </c>
      <c r="P63" s="33">
        <v>0.85</v>
      </c>
    </row>
    <row r="64" spans="2:16" ht="30" x14ac:dyDescent="0.25">
      <c r="B64" s="2">
        <v>226</v>
      </c>
      <c r="C64" t="s">
        <v>155</v>
      </c>
      <c r="D64" s="12" t="s">
        <v>156</v>
      </c>
      <c r="E64" s="14">
        <v>0.85</v>
      </c>
      <c r="F64" s="14">
        <v>0.85</v>
      </c>
      <c r="G64" s="14">
        <v>0.85</v>
      </c>
      <c r="H64" s="14">
        <v>0.85</v>
      </c>
      <c r="I64" s="14">
        <v>0.85</v>
      </c>
      <c r="J64" s="14">
        <v>0.85</v>
      </c>
      <c r="K64" s="14">
        <v>0.85</v>
      </c>
      <c r="L64" s="14">
        <v>0.85</v>
      </c>
      <c r="M64" s="14">
        <v>0.85</v>
      </c>
      <c r="N64" s="14">
        <v>0.85</v>
      </c>
      <c r="O64" s="14">
        <v>0.85</v>
      </c>
      <c r="P64" s="33">
        <v>0.85</v>
      </c>
    </row>
    <row r="65" spans="2:16" ht="45" x14ac:dyDescent="0.25">
      <c r="B65" s="2">
        <v>227</v>
      </c>
      <c r="C65" t="s">
        <v>157</v>
      </c>
      <c r="D65" s="12" t="s">
        <v>158</v>
      </c>
      <c r="E65" s="14">
        <v>0.85</v>
      </c>
      <c r="F65" s="14">
        <v>0.85</v>
      </c>
      <c r="G65" s="14">
        <v>0.85</v>
      </c>
      <c r="H65" s="14">
        <v>0.85</v>
      </c>
      <c r="I65" s="14">
        <v>0.85</v>
      </c>
      <c r="J65" s="14">
        <v>0.85</v>
      </c>
      <c r="K65" s="14">
        <v>0.85</v>
      </c>
      <c r="L65" s="14">
        <v>0.85</v>
      </c>
      <c r="M65" s="14">
        <v>0.85</v>
      </c>
      <c r="N65" s="14">
        <v>0.85</v>
      </c>
      <c r="O65" s="14">
        <v>0.85</v>
      </c>
      <c r="P65" s="33">
        <v>0.85</v>
      </c>
    </row>
    <row r="66" spans="2:16" x14ac:dyDescent="0.25">
      <c r="B66" s="2">
        <v>228</v>
      </c>
      <c r="C66" t="s">
        <v>159</v>
      </c>
      <c r="D66" s="12" t="s">
        <v>160</v>
      </c>
      <c r="E66" s="14">
        <v>0.85</v>
      </c>
      <c r="F66" s="14">
        <v>0.85</v>
      </c>
      <c r="G66" s="14">
        <v>0.85</v>
      </c>
      <c r="H66" s="14">
        <v>0.85</v>
      </c>
      <c r="I66" s="14">
        <v>0.85</v>
      </c>
      <c r="J66" s="14">
        <v>0.85</v>
      </c>
      <c r="K66" s="14">
        <v>0.85</v>
      </c>
      <c r="L66" s="14">
        <v>0.85</v>
      </c>
      <c r="M66" s="14">
        <v>0.85</v>
      </c>
      <c r="N66" s="14">
        <v>0.85</v>
      </c>
      <c r="O66" s="14">
        <v>0.85</v>
      </c>
      <c r="P66" s="33">
        <v>0.85</v>
      </c>
    </row>
    <row r="67" spans="2:16" x14ac:dyDescent="0.25">
      <c r="B67" s="2">
        <v>229</v>
      </c>
      <c r="C67" t="s">
        <v>159</v>
      </c>
      <c r="D67" s="12" t="s">
        <v>160</v>
      </c>
      <c r="E67" s="14">
        <v>0.85</v>
      </c>
      <c r="F67" s="14">
        <v>0.85</v>
      </c>
      <c r="G67" s="14">
        <v>0.85</v>
      </c>
      <c r="H67" s="14">
        <v>0.85</v>
      </c>
      <c r="I67" s="14">
        <v>0.85</v>
      </c>
      <c r="J67" s="14">
        <v>0.85</v>
      </c>
      <c r="K67" s="14">
        <v>0.85</v>
      </c>
      <c r="L67" s="14">
        <v>0.85</v>
      </c>
      <c r="M67" s="14">
        <v>0.85</v>
      </c>
      <c r="N67" s="14">
        <v>0.85</v>
      </c>
      <c r="O67" s="14">
        <v>0.85</v>
      </c>
      <c r="P67" s="33">
        <v>0.85</v>
      </c>
    </row>
    <row r="68" spans="2:16" x14ac:dyDescent="0.25">
      <c r="B68" s="2">
        <v>230</v>
      </c>
      <c r="C68" t="s">
        <v>159</v>
      </c>
      <c r="D68" s="12" t="s">
        <v>160</v>
      </c>
      <c r="E68" s="14">
        <v>0.85</v>
      </c>
      <c r="F68" s="14">
        <v>0.85</v>
      </c>
      <c r="G68" s="14">
        <v>0.85</v>
      </c>
      <c r="H68" s="14">
        <v>0.85</v>
      </c>
      <c r="I68" s="14">
        <v>0.85</v>
      </c>
      <c r="J68" s="14">
        <v>0.85</v>
      </c>
      <c r="K68" s="14">
        <v>0.85</v>
      </c>
      <c r="L68" s="14">
        <v>0.85</v>
      </c>
      <c r="M68" s="14">
        <v>0.85</v>
      </c>
      <c r="N68" s="14">
        <v>0.85</v>
      </c>
      <c r="O68" s="14">
        <v>0.85</v>
      </c>
      <c r="P68" s="33">
        <v>0.85</v>
      </c>
    </row>
    <row r="69" spans="2:16" x14ac:dyDescent="0.25">
      <c r="B69" s="2">
        <v>231</v>
      </c>
      <c r="C69" t="s">
        <v>159</v>
      </c>
      <c r="D69" s="12" t="s">
        <v>160</v>
      </c>
      <c r="E69" s="14">
        <v>0.85</v>
      </c>
      <c r="F69" s="14">
        <v>0.85</v>
      </c>
      <c r="G69" s="14">
        <v>0.85</v>
      </c>
      <c r="H69" s="14">
        <v>0.85</v>
      </c>
      <c r="I69" s="14">
        <v>0.85</v>
      </c>
      <c r="J69" s="14">
        <v>0.85</v>
      </c>
      <c r="K69" s="14">
        <v>0.85</v>
      </c>
      <c r="L69" s="14">
        <v>0.85</v>
      </c>
      <c r="M69" s="14">
        <v>0.85</v>
      </c>
      <c r="N69" s="14">
        <v>0.85</v>
      </c>
      <c r="O69" s="14">
        <v>0.85</v>
      </c>
      <c r="P69" s="33">
        <v>0.85</v>
      </c>
    </row>
    <row r="70" spans="2:16" x14ac:dyDescent="0.25">
      <c r="B70" s="2">
        <v>232</v>
      </c>
      <c r="C70" t="s">
        <v>159</v>
      </c>
      <c r="D70" s="12" t="s">
        <v>160</v>
      </c>
      <c r="E70" s="14">
        <v>0.85</v>
      </c>
      <c r="F70" s="14">
        <v>0.85</v>
      </c>
      <c r="G70" s="14">
        <v>0.85</v>
      </c>
      <c r="H70" s="14">
        <v>0.85</v>
      </c>
      <c r="I70" s="14">
        <v>0.85</v>
      </c>
      <c r="J70" s="14">
        <v>0.85</v>
      </c>
      <c r="K70" s="14">
        <v>0.85</v>
      </c>
      <c r="L70" s="14">
        <v>0.85</v>
      </c>
      <c r="M70" s="14">
        <v>0.85</v>
      </c>
      <c r="N70" s="14">
        <v>0.85</v>
      </c>
      <c r="O70" s="14">
        <v>0.85</v>
      </c>
      <c r="P70" s="33">
        <v>0.85</v>
      </c>
    </row>
    <row r="71" spans="2:16" x14ac:dyDescent="0.25">
      <c r="B71" s="2">
        <v>233</v>
      </c>
      <c r="C71" t="s">
        <v>159</v>
      </c>
      <c r="D71" s="12" t="s">
        <v>160</v>
      </c>
      <c r="E71" s="14">
        <v>0.85</v>
      </c>
      <c r="F71" s="14">
        <v>0.85</v>
      </c>
      <c r="G71" s="14">
        <v>0.85</v>
      </c>
      <c r="H71" s="14">
        <v>0.85</v>
      </c>
      <c r="I71" s="14">
        <v>0.85</v>
      </c>
      <c r="J71" s="14">
        <v>0.85</v>
      </c>
      <c r="K71" s="14">
        <v>0.85</v>
      </c>
      <c r="L71" s="14">
        <v>0.85</v>
      </c>
      <c r="M71" s="14">
        <v>0.85</v>
      </c>
      <c r="N71" s="14">
        <v>0.85</v>
      </c>
      <c r="O71" s="14">
        <v>0.85</v>
      </c>
      <c r="P71" s="33">
        <v>0.85</v>
      </c>
    </row>
    <row r="72" spans="2:16" x14ac:dyDescent="0.25">
      <c r="B72" s="2">
        <v>234</v>
      </c>
      <c r="C72" t="s">
        <v>159</v>
      </c>
      <c r="D72" s="12" t="s">
        <v>160</v>
      </c>
      <c r="E72" s="14">
        <v>0.85</v>
      </c>
      <c r="F72" s="14">
        <v>0.85</v>
      </c>
      <c r="G72" s="14">
        <v>0.85</v>
      </c>
      <c r="H72" s="14">
        <v>0.85</v>
      </c>
      <c r="I72" s="14">
        <v>0.85</v>
      </c>
      <c r="J72" s="14">
        <v>0.85</v>
      </c>
      <c r="K72" s="14">
        <v>0.85</v>
      </c>
      <c r="L72" s="14">
        <v>0.85</v>
      </c>
      <c r="M72" s="14">
        <v>0.85</v>
      </c>
      <c r="N72" s="14">
        <v>0.85</v>
      </c>
      <c r="O72" s="14">
        <v>0.85</v>
      </c>
      <c r="P72" s="33">
        <v>0.85</v>
      </c>
    </row>
    <row r="73" spans="2:16" x14ac:dyDescent="0.25">
      <c r="B73" s="2">
        <v>235</v>
      </c>
      <c r="C73" t="s">
        <v>159</v>
      </c>
      <c r="D73" s="12" t="s">
        <v>160</v>
      </c>
      <c r="E73" s="14">
        <v>0.85</v>
      </c>
      <c r="F73" s="14">
        <v>0.85</v>
      </c>
      <c r="G73" s="14">
        <v>0.85</v>
      </c>
      <c r="H73" s="14">
        <v>0.85</v>
      </c>
      <c r="I73" s="14">
        <v>0.85</v>
      </c>
      <c r="J73" s="14">
        <v>0.85</v>
      </c>
      <c r="K73" s="14">
        <v>0.85</v>
      </c>
      <c r="L73" s="14">
        <v>0.85</v>
      </c>
      <c r="M73" s="14">
        <v>0.85</v>
      </c>
      <c r="N73" s="14">
        <v>0.85</v>
      </c>
      <c r="O73" s="14">
        <v>0.85</v>
      </c>
      <c r="P73" s="33">
        <v>0.85</v>
      </c>
    </row>
    <row r="173" spans="5:5" x14ac:dyDescent="0.25">
      <c r="E173" s="34"/>
    </row>
  </sheetData>
  <sheetProtection algorithmName="SHA-512" hashValue="a+6lIJYYVQoFMmRyhHAi1atcwMM5Ux+Pj6+Zi2C1bB9ZQug3Ju5uKhMpZXPBnHGE9CALwicBabNkkgKOpFMZSg==" saltValue="ioYfrAfgTP4Jxgg9DCkYNw==" spinCount="100000" sheet="1" objects="1" scenarios="1" selectLockedCells="1"/>
  <conditionalFormatting sqref="A6:A1002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2">
    <dataValidation type="list" allowBlank="1" showInputMessage="1" showErrorMessage="1" sqref="D3">
      <formula1>"Budget,Actual"</formula1>
    </dataValidation>
    <dataValidation type="list" allowBlank="1" showInputMessage="1" showErrorMessage="1" sqref="D2">
      <formula1>"2010,2011,2012,2013,2014,2015,2016,2017,2018,2019,2020"</formula1>
    </dataValidation>
  </dataValidations>
  <pageMargins left="0.7" right="0.7" top="0.75" bottom="0.75" header="0.3" footer="0.3"/>
  <pageSetup scale="4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locked="0" defaultSize="0" print="0" autoFill="0" autoPict="0" macro="[0]!Sheet3.ClearIndicators">
                <anchor moveWithCells="1" sizeWithCells="1">
                  <from>
                    <xdr:col>6</xdr:col>
                    <xdr:colOff>57150</xdr:colOff>
                    <xdr:row>0</xdr:row>
                    <xdr:rowOff>171450</xdr:rowOff>
                  </from>
                  <to>
                    <xdr:col>7</xdr:col>
                    <xdr:colOff>57150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locked="0" defaultSize="0" print="0" autoFill="0" autoPict="0" macro="[0]!Sheet3.GetIndicators" altText="Get Columns">
                <anchor moveWithCells="1" sizeWithCells="1">
                  <from>
                    <xdr:col>7</xdr:col>
                    <xdr:colOff>200025</xdr:colOff>
                    <xdr:row>0</xdr:row>
                    <xdr:rowOff>171450</xdr:rowOff>
                  </from>
                  <to>
                    <xdr:col>8</xdr:col>
                    <xdr:colOff>523875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locked="0" defaultSize="0" print="0" autoFill="0" autoPict="0" macro="[0]!Sheet3.UpdateIndicators">
                <anchor moveWithCells="1" sizeWithCells="1">
                  <from>
                    <xdr:col>8</xdr:col>
                    <xdr:colOff>657225</xdr:colOff>
                    <xdr:row>0</xdr:row>
                    <xdr:rowOff>171450</xdr:rowOff>
                  </from>
                  <to>
                    <xdr:col>10</xdr:col>
                    <xdr:colOff>638175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DataList!E2:E100</xm:f>
          </x14:formula1>
          <xm:sqref>D1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workbookViewId="0">
      <selection activeCell="C19" sqref="C19"/>
    </sheetView>
  </sheetViews>
  <sheetFormatPr defaultRowHeight="15" x14ac:dyDescent="0.25"/>
  <cols>
    <col min="1" max="1" width="29.28515625" style="35" customWidth="1"/>
    <col min="2" max="2" width="12.5703125" style="35" customWidth="1"/>
    <col min="3" max="3" width="10.5703125" style="35" customWidth="1"/>
    <col min="4" max="4" width="4.140625" style="35" customWidth="1"/>
    <col min="5" max="5" width="32.5703125" style="35" customWidth="1"/>
    <col min="6" max="6" width="11.7109375" style="35" customWidth="1"/>
    <col min="7" max="15" width="9.140625" style="35"/>
    <col min="16" max="16" width="21.140625" style="35" customWidth="1"/>
    <col min="17" max="16384" width="9.140625" style="35"/>
  </cols>
  <sheetData>
    <row r="1" spans="1:6" x14ac:dyDescent="0.25">
      <c r="A1" s="35" t="s">
        <v>37</v>
      </c>
      <c r="B1" s="35" t="s">
        <v>6</v>
      </c>
      <c r="E1" s="35" t="s">
        <v>38</v>
      </c>
      <c r="F1" s="35" t="s">
        <v>39</v>
      </c>
    </row>
    <row r="2" spans="1:6" x14ac:dyDescent="0.25">
      <c r="A2" s="35" t="s">
        <v>11</v>
      </c>
      <c r="B2" s="35">
        <v>12</v>
      </c>
      <c r="E2" s="35" t="s">
        <v>16</v>
      </c>
      <c r="F2" s="35">
        <v>17</v>
      </c>
    </row>
    <row r="3" spans="1:6" x14ac:dyDescent="0.25">
      <c r="A3" s="35" t="s">
        <v>12</v>
      </c>
      <c r="B3" s="35">
        <v>11</v>
      </c>
      <c r="E3" s="35" t="s">
        <v>17</v>
      </c>
      <c r="F3" s="35">
        <v>18</v>
      </c>
    </row>
    <row r="4" spans="1:6" x14ac:dyDescent="0.25">
      <c r="A4" s="35" t="s">
        <v>13</v>
      </c>
      <c r="B4" s="35">
        <v>8</v>
      </c>
      <c r="E4" s="35" t="s">
        <v>18</v>
      </c>
      <c r="F4" s="35">
        <v>14</v>
      </c>
    </row>
    <row r="5" spans="1:6" x14ac:dyDescent="0.25">
      <c r="A5" s="35" t="s">
        <v>14</v>
      </c>
      <c r="B5" s="35">
        <v>9</v>
      </c>
    </row>
    <row r="6" spans="1:6" x14ac:dyDescent="0.25">
      <c r="A6" s="35" t="s">
        <v>15</v>
      </c>
      <c r="B6" s="35">
        <v>6</v>
      </c>
    </row>
  </sheetData>
  <sheetProtection algorithmName="SHA-512" hashValue="1dWVU2ho5oGjQ+D/mAOs3xfTNuZag7jIOOTDzK/VOeQ/z+5bmdHVZArpby9UUvn+VPe2Md6VaSZ99mVLj/aKKw==" saltValue="OjXgR+0G5557C9X7nPSTIA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DashBoard</vt:lpstr>
      <vt:lpstr>DataList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AJain</cp:lastModifiedBy>
  <dcterms:created xsi:type="dcterms:W3CDTF">2014-10-12T06:05:15Z</dcterms:created>
  <dcterms:modified xsi:type="dcterms:W3CDTF">2015-05-21T08:16:44Z</dcterms:modified>
</cp:coreProperties>
</file>